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workbookProtection lockStructure="1" workbookAlgorithmName="SHA-512" workbookHashValue="xFO4d154LY6kcoc50lxyORsejrxhE5j3abFCY194Jy+l4Oju3GKlYwR/Iap2uz9etKpLBmGucE0BPZ8NX60ImQ==" workbookSaltValue="eXXJvM9hkAeJYRynZ7SIRA==" workbookSpinCount="100000"/>
  <bookViews>
    <workbookView visibility="visible" minimized="0" showHorizontalScroll="1" showVerticalScroll="1" showSheetTabs="1" xWindow="4300" yWindow="7750" windowWidth="12770" windowHeight="8690" tabRatio="891" firstSheet="0" activeTab="0" autoFilterDateGrouping="1"/>
  </bookViews>
  <sheets>
    <sheet xmlns:r="http://schemas.openxmlformats.org/officeDocument/2006/relationships" name="Q1B Statements" sheetId="1" state="visible" r:id="rId1"/>
    <sheet xmlns:r="http://schemas.openxmlformats.org/officeDocument/2006/relationships" name="input" sheetId="2" state="visible" r:id="rId2"/>
    <sheet xmlns:r="http://schemas.openxmlformats.org/officeDocument/2006/relationships" name="input reference" sheetId="3" state="hidden" r:id="rId3"/>
    <sheet xmlns:r="http://schemas.openxmlformats.org/officeDocument/2006/relationships" name="income statement and owners ref" sheetId="4" state="hidden" r:id="rId4"/>
    <sheet xmlns:r="http://schemas.openxmlformats.org/officeDocument/2006/relationships" name="balance sheet ref" sheetId="5" state="hidden" r:id="rId5"/>
    <sheet xmlns:r="http://schemas.openxmlformats.org/officeDocument/2006/relationships" name="Q2 Cole TB" sheetId="6" state="visible" r:id="rId6"/>
    <sheet xmlns:r="http://schemas.openxmlformats.org/officeDocument/2006/relationships" name="Q3 NI" sheetId="7" state="visible" r:id="rId7"/>
    <sheet xmlns:r="http://schemas.openxmlformats.org/officeDocument/2006/relationships" name="Q4 Adjusted TB" sheetId="8" state="visible" r:id="rId8"/>
  </sheets>
  <definedNames>
    <definedName name="_xlnm.Print_Area" localSheetId="3">'income statement and owners ref'!$A$1:$I$50</definedName>
    <definedName name="_xlnm.Print_Area" localSheetId="4">'balance sheet ref'!$A$1:$I$50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&quot;$&quot;#,##0;[Red]\-&quot;$&quot;#,##0"/>
    <numFmt numFmtId="165" formatCode="&quot;$&quot;#,##0"/>
    <numFmt numFmtId="166" formatCode="mmmm\ d\,\ yyyy"/>
  </numFmts>
  <fonts count="14">
    <font>
      <name val="Arial"/>
      <sz val="10"/>
    </font>
    <font>
      <name val="Liberation Sans"/>
      <family val="2"/>
      <sz val="10"/>
    </font>
    <font>
      <name val="Liberation Sans"/>
      <family val="2"/>
      <b val="1"/>
      <sz val="10"/>
    </font>
    <font>
      <name val="Liberation Sans"/>
      <family val="2"/>
      <sz val="8"/>
    </font>
    <font>
      <name val="Times New Roman"/>
      <family val="1"/>
      <color rgb="FF000000"/>
      <sz val="12"/>
    </font>
    <font>
      <name val="Arial"/>
      <family val="2"/>
      <sz val="10"/>
    </font>
    <font>
      <name val="Liberation Sans"/>
      <sz val="10"/>
    </font>
    <font>
      <name val="Arial"/>
      <family val="2"/>
      <color theme="0"/>
      <sz val="10"/>
    </font>
    <font>
      <name val="宋体"/>
      <charset val="134"/>
      <family val="3"/>
      <sz val="9"/>
    </font>
    <font>
      <name val="Times New Roman"/>
      <b val="1"/>
      <sz val="14"/>
    </font>
    <font>
      <name val="Times New Roman"/>
      <sz val="11"/>
    </font>
    <font>
      <name val="Times New Roman"/>
      <b val="1"/>
      <sz val="12"/>
    </font>
    <font>
      <name val="Times New Roman"/>
      <b val="1"/>
      <sz val="11"/>
    </font>
    <font>
      <name val="Times New Roman"/>
      <sz val="10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00FFFF00"/>
      </patternFill>
    </fill>
  </fills>
  <borders count="4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6">
    <xf numFmtId="0" fontId="0" fillId="0" borderId="0" pivotButton="0" quotePrefix="0" xfId="0"/>
    <xf numFmtId="0" fontId="1" fillId="0" borderId="1" pivotButton="0" quotePrefix="0" xfId="0"/>
    <xf numFmtId="0" fontId="1" fillId="0" borderId="1" applyAlignment="1" pivotButton="0" quotePrefix="0" xfId="0">
      <alignment horizontal="right"/>
    </xf>
    <xf numFmtId="0" fontId="1" fillId="0" borderId="0" pivotButton="0" quotePrefix="0" xfId="0"/>
    <xf numFmtId="0" fontId="1" fillId="0" borderId="2" pivotButton="0" quotePrefix="0" xfId="0"/>
    <xf numFmtId="0" fontId="1" fillId="0" borderId="4" pivotButton="0" quotePrefix="0" xfId="0"/>
    <xf numFmtId="0" fontId="1" fillId="0" borderId="0" applyAlignment="1" pivotButton="0" quotePrefix="0" xfId="0">
      <alignment horizontal="left"/>
    </xf>
    <xf numFmtId="0" fontId="1" fillId="0" borderId="16" pivotButton="0" quotePrefix="0" xfId="0"/>
    <xf numFmtId="0" fontId="1" fillId="0" borderId="17" pivotButton="0" quotePrefix="0" xfId="0"/>
    <xf numFmtId="0" fontId="1" fillId="0" borderId="13" pivotButton="0" quotePrefix="0" xfId="0"/>
    <xf numFmtId="0" fontId="1" fillId="0" borderId="18" pivotButton="0" quotePrefix="0" xfId="0"/>
    <xf numFmtId="0" fontId="1" fillId="0" borderId="19" pivotButton="0" quotePrefix="0" xfId="0"/>
    <xf numFmtId="0" fontId="1" fillId="0" borderId="20" pivotButton="0" quotePrefix="0" xfId="0"/>
    <xf numFmtId="0" fontId="1" fillId="0" borderId="21" pivotButton="0" quotePrefix="0" xfId="0"/>
    <xf numFmtId="0" fontId="1" fillId="0" borderId="22" pivotButton="0" quotePrefix="0" xfId="0"/>
    <xf numFmtId="0" fontId="1" fillId="0" borderId="23" pivotButton="0" quotePrefix="0" xfId="0"/>
    <xf numFmtId="0" fontId="1" fillId="0" borderId="24" pivotButton="0" quotePrefix="0" xfId="0"/>
    <xf numFmtId="0" fontId="2" fillId="0" borderId="19" pivotButton="0" quotePrefix="0" xfId="0"/>
    <xf numFmtId="0" fontId="1" fillId="0" borderId="25" pivotButton="0" quotePrefix="0" xfId="0"/>
    <xf numFmtId="0" fontId="1" fillId="0" borderId="26" pivotButton="0" quotePrefix="0" xfId="0"/>
    <xf numFmtId="0" fontId="1" fillId="0" borderId="2" applyAlignment="1" pivotButton="0" quotePrefix="0" xfId="0">
      <alignment horizontal="right"/>
    </xf>
    <xf numFmtId="0" fontId="1" fillId="0" borderId="28" pivotButton="0" quotePrefix="0" xfId="0"/>
    <xf numFmtId="0" fontId="1" fillId="0" borderId="29" pivotButton="0" quotePrefix="0" xfId="0"/>
    <xf numFmtId="0" fontId="1" fillId="0" borderId="30" pivotButton="0" quotePrefix="0" xfId="0"/>
    <xf numFmtId="0" fontId="1" fillId="0" borderId="27" pivotButton="0" quotePrefix="0" xfId="0"/>
    <xf numFmtId="0" fontId="1" fillId="0" borderId="0" applyAlignment="1" pivotButton="0" quotePrefix="0" xfId="0">
      <alignment horizontal="right"/>
    </xf>
    <xf numFmtId="0" fontId="1" fillId="0" borderId="14" pivotButton="0" quotePrefix="0" xfId="0"/>
    <xf numFmtId="0" fontId="3" fillId="0" borderId="17" pivotButton="0" quotePrefix="0" xfId="0"/>
    <xf numFmtId="0" fontId="1" fillId="0" borderId="32" pivotButton="0" quotePrefix="0" xfId="0"/>
    <xf numFmtId="0" fontId="1" fillId="0" borderId="33" pivotButton="0" quotePrefix="0" xfId="0"/>
    <xf numFmtId="0" fontId="1" fillId="0" borderId="34" pivotButton="0" quotePrefix="0" xfId="0"/>
    <xf numFmtId="0" fontId="1" fillId="0" borderId="35" pivotButton="0" quotePrefix="0" xfId="0"/>
    <xf numFmtId="0" fontId="1" fillId="0" borderId="36" pivotButton="0" quotePrefix="0" xfId="0"/>
    <xf numFmtId="0" fontId="3" fillId="0" borderId="0" pivotButton="0" quotePrefix="0" xfId="0"/>
    <xf numFmtId="0" fontId="3" fillId="0" borderId="31" pivotButton="0" quotePrefix="0" xfId="0"/>
    <xf numFmtId="0" fontId="1" fillId="0" borderId="16" applyAlignment="1" pivotButton="0" quotePrefix="0" xfId="0">
      <alignment horizontal="left" indent="1"/>
    </xf>
    <xf numFmtId="0" fontId="1" fillId="0" borderId="19" applyAlignment="1" pivotButton="0" quotePrefix="0" xfId="0">
      <alignment horizontal="left" indent="1"/>
    </xf>
    <xf numFmtId="0" fontId="1" fillId="0" borderId="21" applyAlignment="1" pivotButton="0" quotePrefix="0" xfId="0">
      <alignment horizontal="left" indent="1"/>
    </xf>
    <xf numFmtId="0" fontId="2" fillId="0" borderId="19" applyAlignment="1" pivotButton="0" quotePrefix="0" xfId="0">
      <alignment horizontal="left" indent="1"/>
    </xf>
    <xf numFmtId="0" fontId="1" fillId="0" borderId="27" applyAlignment="1" pivotButton="0" quotePrefix="0" xfId="0">
      <alignment horizontal="left" indent="1"/>
    </xf>
    <xf numFmtId="0" fontId="1" fillId="0" borderId="0" applyAlignment="1" pivotButton="0" quotePrefix="0" xfId="0">
      <alignment horizontal="left" indent="1"/>
    </xf>
    <xf numFmtId="0" fontId="3" fillId="0" borderId="32" pivotButton="0" quotePrefix="0" xfId="0"/>
    <xf numFmtId="0" fontId="3" fillId="0" borderId="35" pivotButton="0" quotePrefix="0" xfId="0"/>
    <xf numFmtId="0" fontId="4" fillId="0" borderId="0" applyAlignment="1" pivotButton="0" quotePrefix="0" xfId="0">
      <alignment vertical="center"/>
    </xf>
    <xf numFmtId="164" fontId="4" fillId="0" borderId="0" applyAlignment="1" pivotButton="0" quotePrefix="0" xfId="0">
      <alignment vertical="center"/>
    </xf>
    <xf numFmtId="3" fontId="4" fillId="0" borderId="0" applyAlignment="1" pivotButton="0" quotePrefix="0" xfId="0">
      <alignment vertical="center"/>
    </xf>
    <xf numFmtId="3" fontId="1" fillId="0" borderId="32" pivotButton="0" quotePrefix="0" xfId="0"/>
    <xf numFmtId="3" fontId="1" fillId="0" borderId="33" pivotButton="0" quotePrefix="0" xfId="0"/>
    <xf numFmtId="3" fontId="1" fillId="0" borderId="13" pivotButton="0" quotePrefix="0" xfId="0"/>
    <xf numFmtId="3" fontId="1" fillId="0" borderId="17" pivotButton="0" quotePrefix="0" xfId="0"/>
    <xf numFmtId="3" fontId="1" fillId="0" borderId="34" pivotButton="0" quotePrefix="0" xfId="0"/>
    <xf numFmtId="164" fontId="1" fillId="0" borderId="32" pivotButton="0" quotePrefix="0" xfId="0"/>
    <xf numFmtId="0" fontId="6" fillId="0" borderId="21" pivotButton="0" quotePrefix="0" xfId="0"/>
    <xf numFmtId="164" fontId="1" fillId="0" borderId="34" pivotButton="0" quotePrefix="0" xfId="0"/>
    <xf numFmtId="164" fontId="1" fillId="0" borderId="0" pivotButton="0" quotePrefix="0" xfId="0"/>
    <xf numFmtId="0" fontId="7" fillId="0" borderId="0" applyProtection="1" pivotButton="0" quotePrefix="0" xfId="0">
      <protection locked="1" hidden="1"/>
    </xf>
    <xf numFmtId="164" fontId="7" fillId="0" borderId="0" applyProtection="1" pivotButton="0" quotePrefix="0" xfId="0">
      <protection locked="1" hidden="1"/>
    </xf>
    <xf numFmtId="165" fontId="7" fillId="0" borderId="0" applyProtection="1" pivotButton="0" quotePrefix="0" xfId="0">
      <protection locked="1" hidden="1"/>
    </xf>
    <xf numFmtId="165" fontId="4" fillId="0" borderId="0" applyAlignment="1" applyProtection="1" pivotButton="0" quotePrefix="0" xfId="0">
      <alignment horizontal="right" vertical="center"/>
      <protection locked="1" hidden="1"/>
    </xf>
    <xf numFmtId="3" fontId="4" fillId="0" borderId="0" applyAlignment="1" applyProtection="1" pivotButton="0" quotePrefix="0" xfId="0">
      <alignment vertical="center"/>
      <protection locked="1" hidden="1"/>
    </xf>
    <xf numFmtId="0" fontId="4" fillId="0" borderId="0" applyAlignment="1" applyProtection="1" pivotButton="0" quotePrefix="0" xfId="0">
      <alignment vertical="center"/>
      <protection locked="1" hidden="1"/>
    </xf>
    <xf numFmtId="0" fontId="5" fillId="0" borderId="0" applyProtection="1" pivotButton="0" quotePrefix="0" xfId="0">
      <protection locked="1" hidden="1"/>
    </xf>
    <xf numFmtId="0" fontId="0" fillId="0" borderId="0" applyProtection="1" pivotButton="0" quotePrefix="0" xfId="0">
      <protection locked="1" hidden="1"/>
    </xf>
    <xf numFmtId="0" fontId="0" fillId="2" borderId="0" applyProtection="1" pivotButton="0" quotePrefix="0" xfId="0">
      <protection locked="0" hidden="0"/>
    </xf>
    <xf numFmtId="0" fontId="1" fillId="0" borderId="8" applyAlignment="1" pivotButton="0" quotePrefix="0" xfId="0">
      <alignment horizontal="center"/>
    </xf>
    <xf numFmtId="0" fontId="1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2" fillId="0" borderId="3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1" fillId="0" borderId="6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166" fontId="1" fillId="0" borderId="8" applyAlignment="1" pivotButton="0" quotePrefix="0" xfId="0">
      <alignment horizontal="center"/>
    </xf>
    <xf numFmtId="166" fontId="1" fillId="0" borderId="9" applyAlignment="1" pivotButton="0" quotePrefix="0" xfId="0">
      <alignment horizontal="center"/>
    </xf>
    <xf numFmtId="166" fontId="1" fillId="0" borderId="10" applyAlignment="1" pivotButton="0" quotePrefix="0" xfId="0">
      <alignment horizontal="center"/>
    </xf>
    <xf numFmtId="0" fontId="1" fillId="0" borderId="11" applyAlignment="1" pivotButton="0" quotePrefix="0" xfId="0">
      <alignment horizontal="center"/>
    </xf>
    <xf numFmtId="0" fontId="1" fillId="0" borderId="12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21" applyAlignment="1" pivotButton="0" quotePrefix="0" xfId="0">
      <alignment horizontal="center"/>
    </xf>
    <xf numFmtId="0" fontId="1" fillId="0" borderId="22" applyAlignment="1" pivotButton="0" quotePrefix="0" xfId="0">
      <alignment horizontal="center"/>
    </xf>
    <xf numFmtId="0" fontId="1" fillId="0" borderId="24" applyAlignment="1" pivotButton="0" quotePrefix="0" xfId="0">
      <alignment horizontal="center"/>
    </xf>
    <xf numFmtId="0" fontId="9" fillId="0" borderId="0" applyAlignment="1" pivotButton="0" quotePrefix="0" xfId="0">
      <alignment horizontal="left"/>
    </xf>
    <xf numFmtId="0" fontId="10" fillId="0" borderId="0" applyAlignment="1" pivotButton="0" quotePrefix="0" xfId="0">
      <alignment horizontal="left"/>
    </xf>
    <xf numFmtId="0" fontId="11" fillId="0" borderId="0" applyAlignment="1" pivotButton="0" quotePrefix="0" xfId="0">
      <alignment horizontal="left"/>
    </xf>
    <xf numFmtId="3" fontId="10" fillId="0" borderId="0" applyAlignment="1" pivotButton="0" quotePrefix="0" xfId="0">
      <alignment horizontal="right"/>
    </xf>
    <xf numFmtId="3" fontId="11" fillId="0" borderId="0" applyAlignment="1" pivotButton="0" quotePrefix="0" xfId="0">
      <alignment horizontal="right"/>
    </xf>
    <xf numFmtId="0" fontId="0" fillId="3" borderId="0" applyProtection="1" pivotButton="0" quotePrefix="0" xfId="0">
      <protection locked="0" hidden="0"/>
    </xf>
    <xf numFmtId="164" fontId="7" fillId="0" borderId="0" applyProtection="1" pivotButton="0" quotePrefix="0" xfId="0">
      <protection locked="1" hidden="1"/>
    </xf>
    <xf numFmtId="165" fontId="4" fillId="0" borderId="0" applyAlignment="1" applyProtection="1" pivotButton="0" quotePrefix="0" xfId="0">
      <alignment horizontal="right" vertical="center"/>
      <protection locked="1" hidden="1"/>
    </xf>
    <xf numFmtId="165" fontId="7" fillId="0" borderId="0" applyProtection="1" pivotButton="0" quotePrefix="0" xfId="0">
      <protection locked="1" hidden="1"/>
    </xf>
    <xf numFmtId="164" fontId="4" fillId="0" borderId="0" applyAlignment="1" pivotButton="0" quotePrefix="0" xfId="0">
      <alignment vertical="center"/>
    </xf>
    <xf numFmtId="0" fontId="2" fillId="0" borderId="38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1" fillId="0" borderId="39" applyAlignment="1" pivotButton="0" quotePrefix="0" xfId="0">
      <alignment horizontal="center"/>
    </xf>
    <xf numFmtId="0" fontId="0" fillId="0" borderId="7" pivotButton="0" quotePrefix="0" xfId="0"/>
    <xf numFmtId="0" fontId="1" fillId="0" borderId="37" applyAlignment="1" pivotButton="0" quotePrefix="0" xfId="0">
      <alignment horizontal="center"/>
    </xf>
    <xf numFmtId="0" fontId="0" fillId="0" borderId="9" pivotButton="0" quotePrefix="0" xfId="0"/>
    <xf numFmtId="0" fontId="0" fillId="0" borderId="10" pivotButton="0" quotePrefix="0" xfId="0"/>
    <xf numFmtId="164" fontId="1" fillId="0" borderId="32" pivotButton="0" quotePrefix="0" xfId="0"/>
    <xf numFmtId="164" fontId="1" fillId="0" borderId="34" pivotButton="0" quotePrefix="0" xfId="0"/>
    <xf numFmtId="166" fontId="1" fillId="0" borderId="37" applyAlignment="1" pivotButton="0" quotePrefix="0" xfId="0">
      <alignment horizontal="center"/>
    </xf>
    <xf numFmtId="0" fontId="1" fillId="0" borderId="14" applyAlignment="1" pivotButton="0" quotePrefix="0" xfId="0">
      <alignment horizontal="center"/>
    </xf>
    <xf numFmtId="0" fontId="0" fillId="0" borderId="12" pivotButton="0" quotePrefix="0" xfId="0"/>
    <xf numFmtId="0" fontId="0" fillId="0" borderId="15" pivotButton="0" quotePrefix="0" xfId="0"/>
    <xf numFmtId="0" fontId="1" fillId="0" borderId="23" applyAlignment="1" pivotButton="0" quotePrefix="0" xfId="0">
      <alignment horizontal="center"/>
    </xf>
    <xf numFmtId="0" fontId="0" fillId="0" borderId="22" pivotButton="0" quotePrefix="0" xfId="0"/>
    <xf numFmtId="0" fontId="0" fillId="0" borderId="24" pivotButton="0" quotePrefix="0" xfId="0"/>
    <xf numFmtId="164" fontId="1" fillId="0" borderId="0" pivotButton="0" quotePrefix="0" xfId="0"/>
    <xf numFmtId="0" fontId="11" fillId="0" borderId="0" pivotButton="0" quotePrefix="0" xfId="0"/>
    <xf numFmtId="0" fontId="12" fillId="0" borderId="40" pivotButton="0" quotePrefix="0" xfId="0"/>
    <xf numFmtId="0" fontId="13" fillId="0" borderId="40" pivotButton="0" quotePrefix="0" xfId="0"/>
    <xf numFmtId="3" fontId="13" fillId="0" borderId="40" pivotButton="0" quotePrefix="0" xfId="0"/>
    <xf numFmtId="3" fontId="12" fillId="0" borderId="40" pivotButton="0" quotePrefix="0" xfId="0"/>
    <xf numFmtId="0" fontId="11" fillId="3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cols>
    <col width="55" customWidth="1" min="1" max="1"/>
    <col width="14" customWidth="1" min="2" max="2"/>
    <col width="14" customWidth="1" min="3" max="3"/>
  </cols>
  <sheetData>
    <row r="1">
      <c r="A1" s="82" t="inlineStr">
        <is>
          <t>Gloss &amp; Glow — Individual dataset (Student No. 8571260)</t>
        </is>
      </c>
    </row>
    <row r="2">
      <c r="A2" s="83" t="inlineStr">
        <is>
          <t>Source: Excel formulas in sheet "input" after entering student number in D1</t>
        </is>
      </c>
    </row>
    <row r="4">
      <c r="A4" s="84" t="inlineStr">
        <is>
          <t>Item</t>
        </is>
      </c>
      <c r="B4" s="84" t="inlineStr">
        <is>
          <t>Amount ($)</t>
        </is>
      </c>
    </row>
    <row r="5">
      <c r="A5" s="83" t="inlineStr">
        <is>
          <t>Owner's Capital, September 1</t>
        </is>
      </c>
      <c r="B5" s="85" t="n">
        <v>57126</v>
      </c>
    </row>
    <row r="6">
      <c r="A6" s="83" t="inlineStr">
        <is>
          <t>Accounts payable</t>
        </is>
      </c>
      <c r="B6" s="85" t="n">
        <v>7000</v>
      </c>
    </row>
    <row r="7">
      <c r="A7" s="83" t="inlineStr">
        <is>
          <t>Equipment</t>
        </is>
      </c>
      <c r="B7" s="85" t="n">
        <v>35000</v>
      </c>
    </row>
    <row r="8">
      <c r="A8" s="83" t="inlineStr">
        <is>
          <t>Service revenue</t>
        </is>
      </c>
      <c r="B8" s="85" t="n">
        <v>71260</v>
      </c>
    </row>
    <row r="9">
      <c r="A9" s="83" t="inlineStr">
        <is>
          <t>Owner's Drawings</t>
        </is>
      </c>
      <c r="B9" s="85" t="n">
        <v>6000</v>
      </c>
    </row>
    <row r="10">
      <c r="A10" s="83" t="inlineStr">
        <is>
          <t>Insurance expense</t>
        </is>
      </c>
      <c r="B10" s="85" t="n">
        <v>4500</v>
      </c>
    </row>
    <row r="11">
      <c r="A11" s="83" t="inlineStr">
        <is>
          <t>Cash</t>
        </is>
      </c>
      <c r="B11" s="85" t="n">
        <v>61905</v>
      </c>
    </row>
    <row r="12">
      <c r="A12" s="83" t="inlineStr">
        <is>
          <t>Utilities expense</t>
        </is>
      </c>
      <c r="B12" s="85" t="n">
        <v>710</v>
      </c>
    </row>
    <row r="13">
      <c r="A13" s="83" t="inlineStr">
        <is>
          <t>Supplies</t>
        </is>
      </c>
      <c r="B13" s="85" t="n">
        <v>8571</v>
      </c>
    </row>
    <row r="14">
      <c r="A14" s="83" t="inlineStr">
        <is>
          <t>Salaries and wages expense</t>
        </is>
      </c>
      <c r="B14" s="85" t="n">
        <v>5700</v>
      </c>
    </row>
    <row r="15">
      <c r="A15" s="83" t="inlineStr">
        <is>
          <t>Accounts receivable</t>
        </is>
      </c>
      <c r="B15" s="85" t="n">
        <v>8500</v>
      </c>
    </row>
    <row r="16">
      <c r="A16" s="83" t="inlineStr">
        <is>
          <t>Rent expense</t>
        </is>
      </c>
      <c r="B16" s="85" t="n">
        <v>4500</v>
      </c>
    </row>
    <row r="18">
      <c r="A18" s="84" t="inlineStr">
        <is>
          <t>KEY WORKING (how each amount is derived)</t>
        </is>
      </c>
    </row>
    <row r="19">
      <c r="A19" s="83" t="inlineStr">
        <is>
          <t>Student number D1 = 8571260. Excel MID is 1-indexed.</t>
        </is>
      </c>
    </row>
    <row r="20">
      <c r="A20" s="83" t="inlineStr">
        <is>
          <t>Owner's Capital Sept 1 = MID(D1,2,5) = 57126</t>
        </is>
      </c>
    </row>
    <row r="21">
      <c r="A21" s="83" t="inlineStr">
        <is>
          <t>Service revenue = MID(D1,3,5) = 71260</t>
        </is>
      </c>
    </row>
    <row r="22">
      <c r="A22" s="83" t="inlineStr">
        <is>
          <t>Utilities expense = MID(D1,3,2)*10 = 71*10 = 710</t>
        </is>
      </c>
    </row>
    <row r="23">
      <c r="A23" s="83" t="inlineStr">
        <is>
          <t>Supplies = MID(D1,1,4) = 8571</t>
        </is>
      </c>
    </row>
    <row r="24">
      <c r="A24" s="83" t="inlineStr">
        <is>
          <t>Salaries and wages expense = MID(D1,2,2)*100 = 57*100 = 5700</t>
        </is>
      </c>
    </row>
    <row r="25">
      <c r="A25" s="83" t="inlineStr">
        <is>
          <t>Accounts receivable = MID(D1,1,2)*100 = 85*100 = 8500</t>
        </is>
      </c>
    </row>
    <row r="26">
      <c r="A26" s="83" t="inlineStr">
        <is>
          <t>Rent expense = (MID(D1,1,1)+1)*500 = (8+1)*500 = 4500</t>
        </is>
      </c>
    </row>
    <row r="27">
      <c r="A27" s="83" t="inlineStr">
        <is>
          <t>Accounts payable / Equipment / Drawings / Insurance are fixed: 7000 / 35000 / 6000 / 4500</t>
        </is>
      </c>
    </row>
    <row r="28">
      <c r="A28" s="83" t="inlineStr">
        <is>
          <t>Cash is determined so Assets = Liabilities + Equity for the personalised dataset:</t>
        </is>
      </c>
    </row>
    <row r="29">
      <c r="A29" s="83" t="inlineStr">
        <is>
          <t>Cash = 61,905 (see balance check below)</t>
        </is>
      </c>
    </row>
    <row r="32">
      <c r="A32" s="84" t="inlineStr">
        <is>
          <t>Gloss &amp; Glow</t>
        </is>
      </c>
    </row>
    <row r="33">
      <c r="A33" s="84" t="inlineStr">
        <is>
          <t>Income Statement</t>
        </is>
      </c>
    </row>
    <row r="34">
      <c r="A34" s="83" t="inlineStr">
        <is>
          <t>For the Month Ended September 30, 2027</t>
        </is>
      </c>
    </row>
    <row r="35">
      <c r="A35" s="84" t="inlineStr">
        <is>
          <t>Revenues</t>
        </is>
      </c>
    </row>
    <row r="36">
      <c r="A36" s="83" t="inlineStr">
        <is>
          <t>Service revenue</t>
        </is>
      </c>
      <c r="C36" s="85" t="n">
        <v>71260</v>
      </c>
    </row>
    <row r="37">
      <c r="A37" s="84" t="inlineStr">
        <is>
          <t>Expenses</t>
        </is>
      </c>
    </row>
    <row r="38">
      <c r="A38" s="83" t="inlineStr">
        <is>
          <t xml:space="preserve">  Salaries and wages expense</t>
        </is>
      </c>
      <c r="B38" s="85" t="n">
        <v>5700</v>
      </c>
    </row>
    <row r="39">
      <c r="A39" s="83" t="inlineStr">
        <is>
          <t xml:space="preserve">  Rent expense</t>
        </is>
      </c>
      <c r="B39" s="85" t="n">
        <v>4500</v>
      </c>
    </row>
    <row r="40">
      <c r="A40" s="83" t="inlineStr">
        <is>
          <t xml:space="preserve">  Insurance expense</t>
        </is>
      </c>
      <c r="B40" s="85" t="n">
        <v>4500</v>
      </c>
    </row>
    <row r="41">
      <c r="A41" s="83" t="inlineStr">
        <is>
          <t xml:space="preserve">  Utilities expense</t>
        </is>
      </c>
      <c r="B41" s="85" t="n">
        <v>710</v>
      </c>
    </row>
    <row r="42">
      <c r="A42" s="84" t="inlineStr">
        <is>
          <t>Total expenses</t>
        </is>
      </c>
      <c r="C42" s="86" t="n">
        <v>15410</v>
      </c>
    </row>
    <row r="43">
      <c r="A43" s="84" t="inlineStr">
        <is>
          <t>Net income</t>
        </is>
      </c>
      <c r="C43" s="86" t="n">
        <v>55850</v>
      </c>
    </row>
    <row r="46">
      <c r="A46" s="84" t="inlineStr">
        <is>
          <t>Gloss &amp; Glow</t>
        </is>
      </c>
    </row>
    <row r="47">
      <c r="A47" s="84" t="inlineStr">
        <is>
          <t>Owner's Equity Statement</t>
        </is>
      </c>
    </row>
    <row r="48">
      <c r="A48" s="83" t="inlineStr">
        <is>
          <t>For the Month Ended September 30, 2027</t>
        </is>
      </c>
    </row>
    <row r="49">
      <c r="A49" s="83" t="inlineStr">
        <is>
          <t>Owner's Capital, September 1</t>
        </is>
      </c>
      <c r="C49" s="85" t="n">
        <v>57126</v>
      </c>
    </row>
    <row r="50">
      <c r="A50" s="83" t="inlineStr">
        <is>
          <t>Add: Net income</t>
        </is>
      </c>
      <c r="C50" s="85" t="n">
        <v>55850</v>
      </c>
    </row>
    <row r="51">
      <c r="A51" s="83" t="inlineStr"/>
      <c r="C51" s="85" t="n">
        <v>112976</v>
      </c>
    </row>
    <row r="52">
      <c r="A52" s="83" t="inlineStr">
        <is>
          <t>Less: Owner's Drawings</t>
        </is>
      </c>
      <c r="C52" s="85" t="n">
        <v>6000</v>
      </c>
    </row>
    <row r="53">
      <c r="A53" s="84" t="inlineStr">
        <is>
          <t>Owner's Capital, September 30</t>
        </is>
      </c>
      <c r="C53" s="86" t="n">
        <v>106976</v>
      </c>
    </row>
    <row r="56">
      <c r="A56" s="84" t="inlineStr">
        <is>
          <t>Gloss &amp; Glow</t>
        </is>
      </c>
    </row>
    <row r="57">
      <c r="A57" s="84" t="inlineStr">
        <is>
          <t>Balance Sheet</t>
        </is>
      </c>
    </row>
    <row r="58">
      <c r="A58" s="83" t="inlineStr">
        <is>
          <t>September 30, 2027</t>
        </is>
      </c>
    </row>
    <row r="59">
      <c r="A59" s="84" t="inlineStr">
        <is>
          <t>Assets</t>
        </is>
      </c>
    </row>
    <row r="60">
      <c r="A60" s="83" t="inlineStr">
        <is>
          <t xml:space="preserve">  Cash</t>
        </is>
      </c>
      <c r="C60" s="85" t="n">
        <v>61905</v>
      </c>
    </row>
    <row r="61">
      <c r="A61" s="83" t="inlineStr">
        <is>
          <t xml:space="preserve">  Accounts receivable</t>
        </is>
      </c>
      <c r="C61" s="85" t="n">
        <v>8500</v>
      </c>
    </row>
    <row r="62">
      <c r="A62" s="83" t="inlineStr">
        <is>
          <t xml:space="preserve">  Supplies</t>
        </is>
      </c>
      <c r="C62" s="85" t="n">
        <v>8571</v>
      </c>
    </row>
    <row r="63">
      <c r="A63" s="83" t="inlineStr">
        <is>
          <t xml:space="preserve">  Equipment</t>
        </is>
      </c>
      <c r="C63" s="85" t="n">
        <v>35000</v>
      </c>
    </row>
    <row r="64">
      <c r="A64" s="84" t="inlineStr">
        <is>
          <t>Total assets</t>
        </is>
      </c>
      <c r="C64" s="86" t="n">
        <v>113976</v>
      </c>
    </row>
    <row r="66">
      <c r="A66" s="84" t="inlineStr">
        <is>
          <t>Liabilities and Owner's Equity</t>
        </is>
      </c>
    </row>
    <row r="67">
      <c r="A67" s="84" t="inlineStr">
        <is>
          <t>Liabilities</t>
        </is>
      </c>
    </row>
    <row r="68">
      <c r="A68" s="83" t="inlineStr">
        <is>
          <t xml:space="preserve">  Accounts payable</t>
        </is>
      </c>
      <c r="C68" s="85" t="n">
        <v>7000</v>
      </c>
    </row>
    <row r="69">
      <c r="A69" s="84" t="inlineStr">
        <is>
          <t>Owner's Equity</t>
        </is>
      </c>
    </row>
    <row r="70">
      <c r="A70" s="83" t="inlineStr">
        <is>
          <t xml:space="preserve">  Owner's Capital</t>
        </is>
      </c>
      <c r="C70" s="85" t="n">
        <v>106976</v>
      </c>
    </row>
    <row r="71">
      <c r="A71" s="84" t="inlineStr">
        <is>
          <t>Total liabilities and owner's equity</t>
        </is>
      </c>
      <c r="C71" s="86" t="n">
        <v>113976</v>
      </c>
    </row>
    <row r="73">
      <c r="A73" s="84" t="inlineStr">
        <is>
          <t>Balance check: Total assets (113976) = Total L+OE (113976) → BALANCED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"/>
  <sheetViews>
    <sheetView tabSelected="1" workbookViewId="0">
      <selection activeCell="D4" sqref="D4"/>
    </sheetView>
  </sheetViews>
  <sheetFormatPr baseColWidth="8" defaultRowHeight="12.5"/>
  <cols>
    <col width="34.1796875" customWidth="1" min="1" max="1"/>
    <col width="12.81640625" customWidth="1" min="2" max="2"/>
    <col width="14.1796875" customWidth="1" min="3" max="3"/>
  </cols>
  <sheetData>
    <row r="1">
      <c r="A1" s="61" t="inlineStr">
        <is>
          <t>Items for Gloss &amp; Glow September 2027</t>
        </is>
      </c>
      <c r="B1" s="62" t="n"/>
      <c r="C1" s="61" t="inlineStr">
        <is>
          <t>student number</t>
        </is>
      </c>
      <c r="D1" s="87" t="n">
        <v>8571260</v>
      </c>
      <c r="E1" s="62" t="n"/>
      <c r="F1" s="62" t="n"/>
      <c r="G1" s="62" t="n"/>
      <c r="H1" s="62" t="n"/>
      <c r="I1" s="62" t="n"/>
      <c r="J1" s="62" t="n"/>
    </row>
    <row r="2">
      <c r="A2" s="62" t="n"/>
      <c r="B2" s="62" t="n"/>
      <c r="C2" s="55" t="inlineStr">
        <is>
          <t>diff balance sheet</t>
        </is>
      </c>
      <c r="D2" s="88">
        <f>#REF!-#REF!</f>
        <v/>
      </c>
      <c r="E2" s="62" t="n"/>
      <c r="F2" s="62" t="n"/>
      <c r="G2" s="62" t="n"/>
      <c r="H2" s="62" t="n"/>
      <c r="I2" s="62" t="n"/>
      <c r="J2" s="62" t="n"/>
    </row>
    <row r="3" ht="15.5" customHeight="1">
      <c r="A3" s="60" t="inlineStr">
        <is>
          <t>Owner's Capital, September 1</t>
        </is>
      </c>
      <c r="B3" s="89">
        <f>(MID(D1,2,5))*1</f>
        <v/>
      </c>
      <c r="C3" s="62" t="n"/>
      <c r="D3" s="90">
        <f>B3-'input reference'!B1</f>
        <v/>
      </c>
      <c r="E3" s="62" t="n"/>
      <c r="F3" s="62" t="n"/>
      <c r="G3" s="62" t="n"/>
      <c r="H3" s="62" t="n"/>
      <c r="I3" s="62" t="n"/>
      <c r="J3" s="62" t="n"/>
    </row>
    <row r="4" ht="15.5" customHeight="1">
      <c r="A4" s="60" t="inlineStr">
        <is>
          <t>Accounts payable</t>
        </is>
      </c>
      <c r="B4" s="59">
        <f>7000</f>
        <v/>
      </c>
      <c r="C4" s="90">
        <f>B4-'input reference'!B2</f>
        <v/>
      </c>
      <c r="D4" s="55" t="n"/>
      <c r="E4" s="62" t="n"/>
      <c r="F4" s="62" t="n"/>
      <c r="G4" s="62" t="n"/>
      <c r="H4" s="62" t="n"/>
      <c r="I4" s="62" t="n"/>
      <c r="J4" s="62" t="n"/>
    </row>
    <row r="5" ht="15.5" customHeight="1">
      <c r="A5" s="60" t="inlineStr">
        <is>
          <t>Equipment</t>
        </is>
      </c>
      <c r="B5" s="59" t="n">
        <v>35000</v>
      </c>
      <c r="C5" s="90">
        <f>B5-'input reference'!B3</f>
        <v/>
      </c>
      <c r="D5" s="55" t="n"/>
      <c r="E5" s="62" t="n"/>
      <c r="F5" s="62" t="n"/>
      <c r="G5" s="62" t="n"/>
      <c r="H5" s="62" t="n"/>
      <c r="I5" s="62" t="n"/>
      <c r="J5" s="62" t="n"/>
    </row>
    <row r="6" ht="15.5" customHeight="1">
      <c r="A6" s="60" t="inlineStr">
        <is>
          <t>Service revenue</t>
        </is>
      </c>
      <c r="B6" s="59">
        <f>(MID(D1,3,5))*1</f>
        <v/>
      </c>
      <c r="C6" s="90">
        <f>B6-'input reference'!B4</f>
        <v/>
      </c>
      <c r="D6" s="55" t="n"/>
      <c r="E6" s="62" t="n"/>
      <c r="F6" s="62" t="n"/>
      <c r="G6" s="62" t="n"/>
      <c r="H6" s="62" t="n"/>
      <c r="I6" s="62" t="n"/>
      <c r="J6" s="62" t="n"/>
    </row>
    <row r="7" ht="15.5" customHeight="1">
      <c r="A7" s="60" t="inlineStr">
        <is>
          <t>Owner's Drawings</t>
        </is>
      </c>
      <c r="B7" s="59" t="n">
        <v>6000</v>
      </c>
      <c r="C7" s="90">
        <f>B7-'input reference'!B5</f>
        <v/>
      </c>
      <c r="D7" s="55" t="n"/>
      <c r="E7" s="62" t="n"/>
      <c r="F7" s="62" t="n"/>
      <c r="G7" s="62" t="n"/>
      <c r="H7" s="62" t="n"/>
      <c r="I7" s="62" t="n"/>
      <c r="J7" s="62" t="n"/>
    </row>
    <row r="8" ht="15.5" customHeight="1">
      <c r="A8" s="60" t="inlineStr">
        <is>
          <t>Insurance expense</t>
        </is>
      </c>
      <c r="B8" s="59" t="n">
        <v>4500</v>
      </c>
      <c r="C8" s="90">
        <f>B8-'input reference'!B6</f>
        <v/>
      </c>
      <c r="D8" s="55" t="n"/>
      <c r="E8" s="62" t="n"/>
      <c r="F8" s="62" t="n"/>
      <c r="G8" s="62" t="n"/>
      <c r="H8" s="62" t="n"/>
      <c r="I8" s="62" t="n"/>
      <c r="J8" s="62" t="n"/>
    </row>
    <row r="9" ht="15.5" customHeight="1">
      <c r="A9" s="60" t="inlineStr">
        <is>
          <t>Cash</t>
        </is>
      </c>
      <c r="B9" s="59">
        <f>3000+C16</f>
        <v/>
      </c>
      <c r="C9" s="90">
        <f>B9-'input reference'!B7</f>
        <v/>
      </c>
      <c r="D9" s="55" t="n"/>
      <c r="E9" s="62" t="n"/>
      <c r="F9" s="62" t="n"/>
      <c r="G9" s="62" t="n"/>
      <c r="H9" s="62" t="n"/>
      <c r="I9" s="62" t="n"/>
      <c r="J9" s="62" t="n"/>
    </row>
    <row r="10" ht="15.5" customHeight="1">
      <c r="A10" s="60" t="inlineStr">
        <is>
          <t>Utilities expense</t>
        </is>
      </c>
      <c r="B10" s="60">
        <f>(MID(D1,3,2))*10</f>
        <v/>
      </c>
      <c r="C10" s="90">
        <f>B10-'input reference'!B8</f>
        <v/>
      </c>
      <c r="D10" s="55" t="n"/>
      <c r="E10" s="62" t="n"/>
      <c r="F10" s="62" t="n"/>
      <c r="G10" s="62" t="n"/>
      <c r="H10" s="62" t="n"/>
      <c r="I10" s="62" t="n"/>
      <c r="J10" s="62" t="n"/>
    </row>
    <row r="11" ht="15.5" customHeight="1">
      <c r="A11" s="60" t="inlineStr">
        <is>
          <t>Supplies</t>
        </is>
      </c>
      <c r="B11" s="59">
        <f>(MID(D1,1,4))*1</f>
        <v/>
      </c>
      <c r="C11" s="90">
        <f>B11-'input reference'!B9</f>
        <v/>
      </c>
      <c r="D11" s="55" t="n"/>
      <c r="E11" s="62" t="n"/>
      <c r="F11" s="62" t="n"/>
      <c r="G11" s="62" t="n"/>
      <c r="H11" s="62" t="n"/>
      <c r="I11" s="62" t="n"/>
      <c r="J11" s="62" t="n"/>
    </row>
    <row r="12" ht="15.5" customHeight="1">
      <c r="A12" s="60" t="inlineStr">
        <is>
          <t>Salaries and wages expense</t>
        </is>
      </c>
      <c r="B12" s="59">
        <f>(MID(D1,2,2))*100</f>
        <v/>
      </c>
      <c r="C12" s="90">
        <f>B12-'input reference'!B10</f>
        <v/>
      </c>
      <c r="D12" s="55" t="n"/>
      <c r="E12" s="62" t="n"/>
      <c r="F12" s="62" t="n"/>
      <c r="G12" s="62" t="n"/>
      <c r="H12" s="62" t="n"/>
      <c r="I12" s="62" t="n"/>
      <c r="J12" s="62" t="n"/>
    </row>
    <row r="13" ht="15.5" customHeight="1">
      <c r="A13" s="60" t="inlineStr">
        <is>
          <t>Accounts receivable</t>
        </is>
      </c>
      <c r="B13" s="59">
        <f>(MID(D1,1,2))*100</f>
        <v/>
      </c>
      <c r="C13" s="90">
        <f>B13-'input reference'!B11</f>
        <v/>
      </c>
      <c r="D13" s="55" t="n"/>
      <c r="E13" s="62" t="n"/>
      <c r="F13" s="62" t="n"/>
      <c r="G13" s="62" t="n"/>
      <c r="H13" s="62" t="n"/>
      <c r="I13" s="62" t="n"/>
      <c r="J13" s="62" t="n"/>
    </row>
    <row r="14" ht="15.5" customHeight="1">
      <c r="A14" s="60" t="inlineStr">
        <is>
          <t>Rent expense</t>
        </is>
      </c>
      <c r="B14" s="59">
        <f>((MID(D1,1,1))+1)*500</f>
        <v/>
      </c>
      <c r="C14" s="90">
        <f>B14-'input reference'!B12</f>
        <v/>
      </c>
      <c r="D14" s="55" t="n"/>
      <c r="E14" s="62" t="n"/>
      <c r="F14" s="62" t="n"/>
      <c r="G14" s="62" t="n"/>
      <c r="H14" s="62" t="n"/>
      <c r="I14" s="62" t="n"/>
      <c r="J14" s="62" t="n"/>
    </row>
    <row r="15">
      <c r="A15" s="62" t="n"/>
      <c r="B15" s="62" t="n"/>
      <c r="C15" s="90" t="n"/>
      <c r="D15" s="55" t="n"/>
      <c r="E15" s="62" t="n"/>
      <c r="F15" s="62" t="n"/>
      <c r="G15" s="62" t="n"/>
      <c r="H15" s="62" t="n"/>
      <c r="I15" s="62" t="n"/>
      <c r="J15" s="62" t="n"/>
    </row>
    <row r="16">
      <c r="A16" s="62" t="n"/>
      <c r="B16" s="62" t="n"/>
      <c r="C16" s="90">
        <f>D3+C6-C8-C10-C12-C14-C7+C4-(C5+C11+C13)</f>
        <v/>
      </c>
      <c r="D16" s="55" t="n"/>
      <c r="E16" s="62" t="n"/>
      <c r="F16" s="62" t="n"/>
      <c r="G16" s="62" t="n"/>
      <c r="H16" s="62" t="n"/>
      <c r="I16" s="62" t="n"/>
      <c r="J16" s="62" t="n"/>
    </row>
    <row r="17">
      <c r="A17" s="62" t="n"/>
      <c r="B17" s="62" t="n"/>
      <c r="C17" s="62" t="n"/>
      <c r="D17" s="62" t="n"/>
      <c r="E17" s="62" t="n"/>
      <c r="F17" s="62" t="n"/>
      <c r="G17" s="62" t="n"/>
      <c r="H17" s="62" t="n"/>
      <c r="I17" s="62" t="n"/>
      <c r="J17" s="62" t="n"/>
    </row>
    <row r="18">
      <c r="A18" s="62" t="n"/>
      <c r="B18" s="62" t="n"/>
      <c r="C18" s="62" t="n"/>
      <c r="D18" s="62" t="n"/>
      <c r="E18" s="62" t="n"/>
      <c r="F18" s="62" t="n"/>
      <c r="G18" s="62" t="n"/>
      <c r="H18" s="62" t="n"/>
      <c r="I18" s="62" t="n"/>
      <c r="J18" s="62" t="n"/>
    </row>
    <row r="19">
      <c r="A19" s="62" t="n"/>
      <c r="B19" s="62" t="n"/>
      <c r="C19" s="62" t="n"/>
      <c r="D19" s="62" t="n"/>
      <c r="E19" s="62" t="n"/>
      <c r="F19" s="62" t="n"/>
      <c r="G19" s="62" t="n"/>
      <c r="H19" s="62" t="n"/>
      <c r="I19" s="62" t="n"/>
      <c r="J19" s="62" t="n"/>
    </row>
    <row r="20">
      <c r="A20" s="62" t="n"/>
      <c r="B20" s="62" t="n"/>
      <c r="C20" s="62" t="n"/>
      <c r="D20" s="62" t="n"/>
      <c r="E20" s="62" t="n"/>
      <c r="F20" s="62" t="n"/>
      <c r="G20" s="62" t="n"/>
      <c r="H20" s="62" t="n"/>
      <c r="I20" s="62" t="n"/>
      <c r="J20" s="62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uoefnPIEst5+6DGsFxcjw==" formatRows="1" sort="1" spinCount="100000" hashValue="pHZQxODr16V6Osbk9LJ7AGVlyGJQW0RNeSO84j/29cBQ32HobLe2GAm+fYX9ud4L9599iiFTeYwh2SHX04cHtQ==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:B12"/>
    </sheetView>
  </sheetViews>
  <sheetFormatPr baseColWidth="8" defaultRowHeight="12.5"/>
  <cols>
    <col width="33" customWidth="1" min="1" max="1"/>
    <col width="22.7265625" customWidth="1" min="2" max="2"/>
  </cols>
  <sheetData>
    <row r="1" ht="15.5" customHeight="1">
      <c r="A1" s="43" t="inlineStr">
        <is>
          <t>Owner's Capital, September 1</t>
        </is>
      </c>
      <c r="B1" s="91" t="n">
        <v>47000</v>
      </c>
    </row>
    <row r="2" ht="15.5" customHeight="1">
      <c r="A2" s="43" t="inlineStr">
        <is>
          <t>Accounts payable</t>
        </is>
      </c>
      <c r="B2" s="45" t="n">
        <v>7000</v>
      </c>
    </row>
    <row r="3" ht="15.5" customHeight="1">
      <c r="A3" s="43" t="inlineStr">
        <is>
          <t>Equipment</t>
        </is>
      </c>
      <c r="B3" s="45" t="n">
        <v>35000</v>
      </c>
    </row>
    <row r="4" ht="15.5" customHeight="1">
      <c r="A4" s="43" t="inlineStr">
        <is>
          <t>Service revenue</t>
        </is>
      </c>
      <c r="B4" s="45" t="n">
        <v>28000</v>
      </c>
    </row>
    <row r="5" ht="15.5" customHeight="1">
      <c r="A5" s="43" t="inlineStr">
        <is>
          <t>Owner's Drawings</t>
        </is>
      </c>
      <c r="B5" s="45" t="n">
        <v>6000</v>
      </c>
    </row>
    <row r="6" ht="15.5" customHeight="1">
      <c r="A6" s="43" t="inlineStr">
        <is>
          <t>Insurance expense</t>
        </is>
      </c>
      <c r="B6" s="45" t="n">
        <v>4500</v>
      </c>
    </row>
    <row r="7" ht="15.5" customHeight="1">
      <c r="A7" s="43" t="inlineStr">
        <is>
          <t>Cash</t>
        </is>
      </c>
      <c r="B7" s="45" t="n">
        <v>3000</v>
      </c>
    </row>
    <row r="8" ht="15.5" customHeight="1">
      <c r="A8" s="43" t="inlineStr">
        <is>
          <t>Utilities expense</t>
        </is>
      </c>
      <c r="B8" s="43" t="n">
        <v>700</v>
      </c>
    </row>
    <row r="9" ht="15.5" customHeight="1">
      <c r="A9" s="43" t="inlineStr">
        <is>
          <t>Supplies</t>
        </is>
      </c>
      <c r="B9" s="45" t="n">
        <v>4800</v>
      </c>
    </row>
    <row r="10" ht="15.5" customHeight="1">
      <c r="A10" s="43" t="inlineStr">
        <is>
          <t>Salaries and wages expense</t>
        </is>
      </c>
      <c r="B10" s="45" t="n">
        <v>9000</v>
      </c>
    </row>
    <row r="11" ht="15.5" customHeight="1">
      <c r="A11" s="43" t="inlineStr">
        <is>
          <t>Accounts receivable</t>
        </is>
      </c>
      <c r="B11" s="45" t="n">
        <v>14000</v>
      </c>
    </row>
    <row r="12" ht="15.5" customHeight="1">
      <c r="A12" s="43" t="inlineStr">
        <is>
          <t>Rent expense</t>
        </is>
      </c>
      <c r="B12" s="45" t="n">
        <v>5000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4"/>
  <sheetViews>
    <sheetView topLeftCell="A20" zoomScaleNormal="100" workbookViewId="0">
      <selection activeCell="H11" sqref="H11"/>
    </sheetView>
  </sheetViews>
  <sheetFormatPr baseColWidth="8" defaultColWidth="9.1796875" defaultRowHeight="12.5"/>
  <cols>
    <col width="3.453125" customWidth="1" style="3" min="1" max="1"/>
    <col width="5.7265625" customWidth="1" style="3" min="2" max="2"/>
    <col width="10.54296875" customWidth="1" style="3" min="3" max="4"/>
    <col width="13.7265625" customWidth="1" style="3" min="5" max="8"/>
    <col width="3.453125" customWidth="1" style="3" min="9" max="9"/>
    <col width="5.1796875" customWidth="1" style="3" min="10" max="10"/>
    <col width="9.1796875" customWidth="1" style="3" min="11" max="16384"/>
  </cols>
  <sheetData>
    <row r="1" ht="15" customHeight="1">
      <c r="A1" s="1" t="inlineStr">
        <is>
          <t>Name</t>
        </is>
      </c>
      <c r="B1" s="1" t="n"/>
      <c r="C1" s="1" t="n"/>
      <c r="D1" s="1" t="n"/>
      <c r="E1" s="1" t="n"/>
      <c r="F1" s="1" t="n"/>
      <c r="G1" s="1" t="n"/>
      <c r="H1" s="1" t="n"/>
      <c r="I1" s="2" t="inlineStr">
        <is>
          <t>Problem 1.3</t>
        </is>
      </c>
    </row>
    <row r="2" ht="15" customHeight="1">
      <c r="A2" s="4" t="inlineStr">
        <is>
          <t>Section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3" ht="15" customHeight="1">
      <c r="A3" s="4" t="inlineStr">
        <is>
          <t>Date</t>
        </is>
      </c>
      <c r="B3" s="4" t="n"/>
      <c r="C3" s="4" t="n"/>
      <c r="D3" s="4" t="n"/>
      <c r="E3" s="4" t="n"/>
      <c r="F3" s="4" t="n"/>
      <c r="G3" s="4" t="n"/>
      <c r="H3" s="4" t="n"/>
      <c r="I3" s="20" t="inlineStr">
        <is>
          <t>Divine Designs Co.</t>
        </is>
      </c>
    </row>
    <row r="4" ht="15" customHeight="1">
      <c r="I4" s="25" t="n"/>
    </row>
    <row r="5" ht="15" customHeight="1" thickBot="1">
      <c r="B5" s="3" t="inlineStr">
        <is>
          <t>(a)</t>
        </is>
      </c>
    </row>
    <row r="6" ht="15" customHeight="1" thickTop="1">
      <c r="B6" s="92" t="inlineStr">
        <is>
          <t>Divine Designs Co.</t>
        </is>
      </c>
      <c r="C6" s="93" t="n"/>
      <c r="D6" s="93" t="n"/>
      <c r="E6" s="93" t="n"/>
      <c r="F6" s="93" t="n"/>
      <c r="G6" s="93" t="n"/>
      <c r="H6" s="94" t="n"/>
    </row>
    <row r="7" ht="15" customHeight="1">
      <c r="B7" s="95" t="inlineStr">
        <is>
          <t>Income Statement</t>
        </is>
      </c>
      <c r="H7" s="96" t="n"/>
    </row>
    <row r="8" ht="15" customHeight="1" thickBot="1">
      <c r="B8" s="97" t="inlineStr">
        <is>
          <t>For the Month Ended June 30, 2022</t>
        </is>
      </c>
      <c r="C8" s="98" t="n"/>
      <c r="D8" s="98" t="n"/>
      <c r="E8" s="98" t="n"/>
      <c r="F8" s="98" t="n"/>
      <c r="G8" s="98" t="n"/>
      <c r="H8" s="99" t="n"/>
    </row>
    <row r="9" ht="15" customHeight="1" thickTop="1">
      <c r="A9" s="3" t="n">
        <v>1</v>
      </c>
      <c r="B9" s="35" t="inlineStr">
        <is>
          <t>Revenues</t>
        </is>
      </c>
      <c r="C9" s="1" t="n"/>
      <c r="D9" s="1" t="n"/>
      <c r="E9" s="1" t="n"/>
      <c r="F9" s="1" t="n"/>
      <c r="G9" s="26" t="n"/>
      <c r="H9" s="29" t="n"/>
      <c r="I9" s="6" t="n">
        <v>1</v>
      </c>
    </row>
    <row r="10" ht="15" customHeight="1">
      <c r="A10" s="3" t="n">
        <v>2</v>
      </c>
      <c r="B10" s="36" t="n"/>
      <c r="C10" s="4" t="inlineStr">
        <is>
          <t>Service revenue</t>
        </is>
      </c>
      <c r="D10" s="4" t="n"/>
      <c r="E10" s="4" t="n"/>
      <c r="F10" s="4" t="n"/>
      <c r="G10" s="8" t="n"/>
      <c r="H10" s="46">
        <f>input!C6</f>
        <v/>
      </c>
      <c r="I10" s="6" t="n">
        <v>2</v>
      </c>
    </row>
    <row r="11" ht="15" customHeight="1">
      <c r="A11" s="3" t="n">
        <v>3</v>
      </c>
      <c r="B11" s="36" t="n"/>
      <c r="C11" s="4" t="n"/>
      <c r="D11" s="4" t="n"/>
      <c r="E11" s="4" t="n"/>
      <c r="F11" s="4" t="n"/>
      <c r="G11" s="8" t="n"/>
      <c r="H11" s="28" t="n"/>
      <c r="I11" s="6" t="n">
        <v>3</v>
      </c>
    </row>
    <row r="12" ht="15" customHeight="1">
      <c r="A12" s="3" t="n">
        <v>4</v>
      </c>
      <c r="B12" s="36" t="n"/>
      <c r="C12" s="4" t="n"/>
      <c r="D12" s="4" t="n"/>
      <c r="E12" s="4" t="n"/>
      <c r="F12" s="4" t="n"/>
      <c r="G12" s="8" t="n"/>
      <c r="H12" s="28" t="n"/>
      <c r="I12" s="6" t="n">
        <v>4</v>
      </c>
    </row>
    <row r="13" ht="15" customHeight="1" thickBot="1">
      <c r="A13" s="3" t="n">
        <v>5</v>
      </c>
      <c r="B13" s="37" t="inlineStr">
        <is>
          <t>Expenses</t>
        </is>
      </c>
      <c r="C13" s="14" t="n"/>
      <c r="D13" s="14" t="n"/>
      <c r="E13" s="14" t="n"/>
      <c r="F13" s="14" t="n"/>
      <c r="G13" s="15" t="n"/>
      <c r="H13" s="30" t="n"/>
      <c r="I13" s="6" t="n">
        <v>5</v>
      </c>
    </row>
    <row r="14" ht="15" customHeight="1">
      <c r="A14" s="3" t="n">
        <v>6</v>
      </c>
      <c r="B14" s="35" t="n"/>
      <c r="C14" s="1" t="inlineStr">
        <is>
          <t>Salaries and wages expense</t>
        </is>
      </c>
      <c r="D14" s="1" t="n"/>
      <c r="E14" s="1" t="n"/>
      <c r="F14" s="1" t="n"/>
      <c r="G14" s="48">
        <f>input!C12</f>
        <v/>
      </c>
      <c r="H14" s="47" t="n"/>
      <c r="I14" s="6" t="n">
        <v>6</v>
      </c>
    </row>
    <row r="15" ht="15" customHeight="1">
      <c r="A15" s="3" t="n">
        <v>7</v>
      </c>
      <c r="B15" s="36" t="n"/>
      <c r="C15" s="4" t="inlineStr">
        <is>
          <t>Rent expense</t>
        </is>
      </c>
      <c r="D15" s="4" t="n"/>
      <c r="E15" s="4" t="n"/>
      <c r="F15" s="4" t="n"/>
      <c r="G15" s="49">
        <f>input!C14</f>
        <v/>
      </c>
      <c r="H15" s="28" t="n"/>
      <c r="I15" s="6" t="n">
        <v>7</v>
      </c>
    </row>
    <row r="16" ht="15" customHeight="1">
      <c r="A16" s="3" t="n">
        <v>8</v>
      </c>
      <c r="B16" s="36" t="n"/>
      <c r="C16" s="4" t="inlineStr">
        <is>
          <t>Insurance expense</t>
        </is>
      </c>
      <c r="D16" s="4" t="n"/>
      <c r="E16" s="4" t="n"/>
      <c r="F16" s="4" t="n"/>
      <c r="G16" s="49">
        <f>input!C8</f>
        <v/>
      </c>
      <c r="H16" s="28" t="n"/>
      <c r="I16" s="6" t="n">
        <v>8</v>
      </c>
    </row>
    <row r="17" ht="15" customHeight="1">
      <c r="A17" s="3" t="n">
        <v>9</v>
      </c>
      <c r="B17" s="38" t="n"/>
      <c r="C17" s="4" t="inlineStr">
        <is>
          <t>Utilities expense</t>
        </is>
      </c>
      <c r="D17" s="4" t="n"/>
      <c r="E17" s="4" t="n"/>
      <c r="F17" s="4" t="n"/>
      <c r="G17" s="8">
        <f>input!C10</f>
        <v/>
      </c>
      <c r="H17" s="28" t="n"/>
      <c r="I17" s="6" t="n">
        <v>9</v>
      </c>
    </row>
    <row r="18" ht="15" customHeight="1" thickBot="1">
      <c r="A18" s="3" t="n">
        <v>10</v>
      </c>
      <c r="B18" s="37" t="n"/>
      <c r="C18" s="14" t="n"/>
      <c r="D18" s="14" t="inlineStr">
        <is>
          <t>Total expenses</t>
        </is>
      </c>
      <c r="E18" s="14" t="n"/>
      <c r="F18" s="14" t="n"/>
      <c r="G18" s="15" t="n"/>
      <c r="H18" s="50">
        <f>SUM(G14:G17)</f>
        <v/>
      </c>
      <c r="I18" s="6" t="n">
        <v>10</v>
      </c>
    </row>
    <row r="19" ht="15" customHeight="1">
      <c r="A19" s="3" t="n">
        <v>11</v>
      </c>
      <c r="B19" s="35" t="n"/>
      <c r="C19" s="1" t="n"/>
      <c r="D19" s="1" t="n"/>
      <c r="E19" s="1" t="n"/>
      <c r="F19" s="1" t="n"/>
      <c r="G19" s="9" t="n"/>
      <c r="H19" s="29" t="n"/>
      <c r="I19" s="6" t="n">
        <v>11</v>
      </c>
    </row>
    <row r="20" ht="15" customHeight="1">
      <c r="A20" s="3" t="n">
        <v>12</v>
      </c>
      <c r="B20" s="36" t="n"/>
      <c r="C20" s="4" t="n"/>
      <c r="D20" s="4" t="n"/>
      <c r="E20" s="4" t="n"/>
      <c r="F20" s="4" t="n"/>
      <c r="G20" s="8" t="n"/>
      <c r="H20" s="28" t="n"/>
      <c r="I20" s="6" t="n">
        <v>12</v>
      </c>
    </row>
    <row r="21" ht="15" customHeight="1">
      <c r="A21" s="3" t="n">
        <v>13</v>
      </c>
      <c r="B21" s="36" t="n"/>
      <c r="C21" s="4" t="n"/>
      <c r="D21" s="4" t="n"/>
      <c r="E21" s="4" t="n"/>
      <c r="F21" s="4" t="n"/>
      <c r="G21" s="8" t="n"/>
      <c r="H21" s="28" t="n"/>
      <c r="I21" s="6" t="n">
        <v>13</v>
      </c>
    </row>
    <row r="22" ht="15" customHeight="1">
      <c r="A22" s="3" t="n">
        <v>14</v>
      </c>
      <c r="B22" s="36" t="inlineStr">
        <is>
          <t>Net Income (Loss)</t>
        </is>
      </c>
      <c r="C22" s="4" t="n"/>
      <c r="D22" s="4" t="n"/>
      <c r="E22" s="4" t="n"/>
      <c r="F22" s="4" t="n"/>
      <c r="G22" s="8" t="n"/>
      <c r="H22" s="46">
        <f>H10-H18</f>
        <v/>
      </c>
      <c r="I22" s="6" t="n">
        <v>14</v>
      </c>
    </row>
    <row r="23" ht="15" customHeight="1" thickBot="1">
      <c r="A23" s="3" t="n">
        <v>15</v>
      </c>
      <c r="B23" s="37" t="n"/>
      <c r="C23" s="14" t="n"/>
      <c r="D23" s="14" t="n"/>
      <c r="E23" s="14" t="n"/>
      <c r="F23" s="14" t="n"/>
      <c r="G23" s="15" t="n"/>
      <c r="H23" s="30" t="n"/>
      <c r="I23" s="6" t="n">
        <v>15</v>
      </c>
    </row>
    <row r="24" ht="15" customHeight="1">
      <c r="A24" s="3" t="n">
        <v>16</v>
      </c>
      <c r="B24" s="35" t="n"/>
      <c r="C24" s="1" t="n"/>
      <c r="D24" s="1" t="n"/>
      <c r="E24" s="1" t="n"/>
      <c r="F24" s="1" t="n"/>
      <c r="G24" s="9" t="n"/>
      <c r="H24" s="29" t="n"/>
      <c r="I24" s="6" t="n">
        <v>16</v>
      </c>
    </row>
    <row r="25" ht="15" customHeight="1">
      <c r="A25" s="3" t="n">
        <v>17</v>
      </c>
      <c r="B25" s="36" t="n"/>
      <c r="C25" s="4" t="n"/>
      <c r="D25" s="4" t="n"/>
      <c r="E25" s="4" t="n"/>
      <c r="F25" s="4" t="n"/>
      <c r="G25" s="8" t="n"/>
      <c r="H25" s="28" t="n"/>
      <c r="I25" s="6" t="n">
        <v>17</v>
      </c>
    </row>
    <row r="26" ht="15" customHeight="1">
      <c r="A26" s="3" t="n">
        <v>18</v>
      </c>
      <c r="B26" s="36" t="n"/>
      <c r="C26" s="4" t="n"/>
      <c r="D26" s="4" t="n"/>
      <c r="E26" s="4" t="n"/>
      <c r="F26" s="4" t="n"/>
      <c r="G26" s="8" t="n"/>
      <c r="H26" s="28" t="n"/>
      <c r="I26" s="6" t="n">
        <v>18</v>
      </c>
    </row>
    <row r="27" ht="15" customHeight="1">
      <c r="A27" s="3" t="n">
        <v>19</v>
      </c>
      <c r="B27" s="38" t="n"/>
      <c r="C27" s="4" t="n"/>
      <c r="D27" s="4" t="n"/>
      <c r="E27" s="4" t="n"/>
      <c r="F27" s="12" t="n"/>
      <c r="G27" s="41" t="n"/>
      <c r="H27" s="28" t="n"/>
      <c r="I27" s="6" t="n">
        <v>19</v>
      </c>
    </row>
    <row r="28" ht="15" customHeight="1" thickBot="1">
      <c r="A28" s="3" t="n">
        <v>20</v>
      </c>
      <c r="B28" s="39" t="n"/>
      <c r="C28" s="21" t="n"/>
      <c r="D28" s="21" t="n"/>
      <c r="E28" s="21" t="n"/>
      <c r="F28" s="22" t="n"/>
      <c r="G28" s="42" t="n"/>
      <c r="H28" s="31" t="n"/>
      <c r="I28" s="6" t="n">
        <v>20</v>
      </c>
    </row>
    <row r="29" ht="15" customHeight="1" thickTop="1">
      <c r="B29" s="40" t="n"/>
      <c r="G29" s="33" t="n"/>
      <c r="I29" s="6" t="n"/>
    </row>
    <row r="30" ht="15" customHeight="1" thickBot="1">
      <c r="G30" s="33" t="n"/>
    </row>
    <row r="31" ht="15" customHeight="1" thickTop="1">
      <c r="B31" s="92" t="inlineStr">
        <is>
          <t>Divine Designs Co.</t>
        </is>
      </c>
      <c r="C31" s="93" t="n"/>
      <c r="D31" s="93" t="n"/>
      <c r="E31" s="93" t="n"/>
      <c r="F31" s="93" t="n"/>
      <c r="G31" s="93" t="n"/>
      <c r="H31" s="94" t="n"/>
    </row>
    <row r="32" ht="15" customHeight="1">
      <c r="B32" s="95" t="inlineStr">
        <is>
          <t>Owner's Equity Statement</t>
        </is>
      </c>
      <c r="H32" s="96" t="n"/>
    </row>
    <row r="33" ht="15" customHeight="1" thickBot="1">
      <c r="B33" s="97" t="inlineStr">
        <is>
          <t>For the Month Ended June 30, 2022</t>
        </is>
      </c>
      <c r="C33" s="98" t="n"/>
      <c r="D33" s="98" t="n"/>
      <c r="E33" s="98" t="n"/>
      <c r="F33" s="98" t="n"/>
      <c r="G33" s="98" t="n"/>
      <c r="H33" s="99" t="n"/>
    </row>
    <row r="34" ht="15" customHeight="1" thickTop="1">
      <c r="A34" s="3" t="n">
        <v>1</v>
      </c>
      <c r="B34" s="11" t="inlineStr">
        <is>
          <t>Owners Capital, September 1</t>
        </is>
      </c>
      <c r="C34" s="4" t="n"/>
      <c r="D34" s="4" t="n"/>
      <c r="E34" s="4" t="n"/>
      <c r="F34" s="12" t="n"/>
      <c r="G34" s="41" t="n"/>
      <c r="H34" s="100">
        <f>input!D3</f>
        <v/>
      </c>
      <c r="I34" s="6" t="n">
        <v>1</v>
      </c>
    </row>
    <row r="35" ht="15" customHeight="1">
      <c r="A35" s="3" t="n">
        <v>2</v>
      </c>
      <c r="B35" s="11" t="inlineStr">
        <is>
          <t>Add: Net income</t>
        </is>
      </c>
      <c r="C35" s="4" t="n"/>
      <c r="D35" s="4" t="n"/>
      <c r="E35" s="4" t="n"/>
      <c r="F35" s="12" t="n"/>
      <c r="G35" s="41" t="n"/>
      <c r="H35" s="46">
        <f>H22</f>
        <v/>
      </c>
      <c r="I35" s="6" t="n">
        <v>2</v>
      </c>
    </row>
    <row r="36" ht="15" customHeight="1">
      <c r="A36" s="3" t="n">
        <v>3</v>
      </c>
      <c r="B36" s="11" t="n"/>
      <c r="C36" s="4" t="n"/>
      <c r="D36" s="4" t="n"/>
      <c r="E36" s="4" t="n"/>
      <c r="F36" s="12" t="n"/>
      <c r="G36" s="41" t="n"/>
      <c r="H36" s="100">
        <f>H34+H35</f>
        <v/>
      </c>
      <c r="I36" s="6" t="n">
        <v>3</v>
      </c>
    </row>
    <row r="37" ht="15" customHeight="1">
      <c r="A37" s="3" t="n">
        <v>4</v>
      </c>
      <c r="B37" s="11" t="inlineStr">
        <is>
          <t>Less: Drawings</t>
        </is>
      </c>
      <c r="C37" s="4" t="n"/>
      <c r="D37" s="4" t="n"/>
      <c r="E37" s="4" t="n"/>
      <c r="F37" s="12" t="n"/>
      <c r="G37" s="41" t="n"/>
      <c r="H37" s="46">
        <f>input!C7</f>
        <v/>
      </c>
      <c r="I37" s="6" t="n">
        <v>4</v>
      </c>
    </row>
    <row r="38" ht="15" customHeight="1" thickBot="1">
      <c r="A38" s="3" t="n">
        <v>5</v>
      </c>
      <c r="B38" s="52" t="inlineStr">
        <is>
          <t>Owner's Capital September 30</t>
        </is>
      </c>
      <c r="C38" s="14" t="n"/>
      <c r="D38" s="14" t="n"/>
      <c r="E38" s="14" t="n"/>
      <c r="F38" s="16" t="n"/>
      <c r="G38" s="30" t="n"/>
      <c r="H38" s="101">
        <f>H36-H37</f>
        <v/>
      </c>
      <c r="I38" s="6" t="n">
        <v>5</v>
      </c>
    </row>
    <row r="39" ht="15" customHeight="1">
      <c r="A39" s="3" t="n">
        <v>6</v>
      </c>
      <c r="B39" s="7" t="n"/>
      <c r="C39" s="1" t="n"/>
      <c r="D39" s="1" t="n"/>
      <c r="E39" s="1" t="n"/>
      <c r="F39" s="10" t="n"/>
      <c r="G39" s="29" t="n"/>
      <c r="H39" s="29" t="n"/>
      <c r="I39" s="6" t="n">
        <v>6</v>
      </c>
    </row>
    <row r="40" ht="15" customHeight="1">
      <c r="A40" s="3" t="n">
        <v>7</v>
      </c>
      <c r="B40" s="11" t="n"/>
      <c r="C40" s="4" t="n"/>
      <c r="D40" s="4" t="n"/>
      <c r="E40" s="4" t="n"/>
      <c r="F40" s="12" t="n"/>
      <c r="G40" s="28" t="n"/>
      <c r="H40" s="28" t="n"/>
      <c r="I40" s="6" t="n">
        <v>7</v>
      </c>
    </row>
    <row r="41" ht="15" customHeight="1">
      <c r="A41" s="3" t="n">
        <v>8</v>
      </c>
      <c r="B41" s="11" t="n"/>
      <c r="C41" s="4" t="n"/>
      <c r="D41" s="4" t="n"/>
      <c r="E41" s="4" t="n"/>
      <c r="F41" s="12" t="n"/>
      <c r="G41" s="28" t="n"/>
      <c r="H41" s="28" t="n"/>
      <c r="I41" s="6" t="n">
        <v>8</v>
      </c>
    </row>
    <row r="42" ht="15" customHeight="1">
      <c r="A42" s="3" t="n">
        <v>9</v>
      </c>
      <c r="B42" s="11" t="n"/>
      <c r="C42" s="4" t="n"/>
      <c r="D42" s="4" t="n"/>
      <c r="E42" s="4" t="n"/>
      <c r="F42" s="12" t="n"/>
      <c r="G42" s="28" t="n"/>
      <c r="H42" s="28" t="n"/>
      <c r="I42" s="6" t="n">
        <v>9</v>
      </c>
    </row>
    <row r="43" ht="15" customHeight="1" thickBot="1">
      <c r="A43" s="3" t="n">
        <v>10</v>
      </c>
      <c r="B43" s="23" t="n"/>
      <c r="C43" s="18" t="n"/>
      <c r="D43" s="18" t="n"/>
      <c r="E43" s="18" t="n"/>
      <c r="F43" s="19" t="n"/>
      <c r="G43" s="32" t="n"/>
      <c r="H43" s="32" t="n"/>
      <c r="I43" s="6" t="n">
        <v>10</v>
      </c>
    </row>
    <row r="44" ht="15" customHeight="1" thickTop="1">
      <c r="B44" s="5" t="n"/>
      <c r="C44" s="5" t="n"/>
      <c r="D44" s="5" t="n"/>
      <c r="E44" s="5" t="n"/>
      <c r="F44" s="5" t="n"/>
      <c r="G44" s="5" t="n"/>
      <c r="H44" s="5" t="n"/>
    </row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</sheetData>
  <mergeCells count="6">
    <mergeCell ref="B8:H8"/>
    <mergeCell ref="B32:H32"/>
    <mergeCell ref="B6:H6"/>
    <mergeCell ref="B7:H7"/>
    <mergeCell ref="B33:H33"/>
    <mergeCell ref="B31:H31"/>
  </mergeCells>
  <pageMargins left="1.125" right="0.5629999999999999" top="0.33" bottom="0.5" header="0" footer="0.35"/>
  <pageSetup orientation="portrait" scale="99" horizontalDpi="300" verticalDpi="300"/>
  <colBreaks count="1" manualBreakCount="1">
    <brk id="9" min="0" max="50" man="1"/>
  </colBreak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8"/>
  <sheetViews>
    <sheetView zoomScale="60" zoomScaleNormal="60" workbookViewId="0">
      <selection activeCell="A34" sqref="A34"/>
    </sheetView>
  </sheetViews>
  <sheetFormatPr baseColWidth="8" defaultColWidth="9.1796875" defaultRowHeight="12.5"/>
  <cols>
    <col width="3.453125" customWidth="1" style="3" min="1" max="1"/>
    <col width="5.7265625" customWidth="1" style="3" min="2" max="2"/>
    <col width="10.54296875" customWidth="1" style="3" min="3" max="4"/>
    <col width="13.7265625" customWidth="1" style="3" min="5" max="8"/>
    <col width="3.453125" customWidth="1" style="3" min="9" max="9"/>
    <col width="5.1796875" customWidth="1" style="3" min="10" max="10"/>
    <col width="9.1796875" customWidth="1" style="3" min="11" max="16384"/>
  </cols>
  <sheetData>
    <row r="1" ht="15" customHeight="1">
      <c r="A1" s="1" t="inlineStr">
        <is>
          <t>Name</t>
        </is>
      </c>
      <c r="B1" s="1" t="n"/>
      <c r="C1" s="1" t="n"/>
      <c r="D1" s="1" t="n"/>
      <c r="E1" s="1" t="n"/>
      <c r="F1" s="1" t="n"/>
      <c r="G1" s="1" t="n"/>
      <c r="H1" s="1" t="n"/>
      <c r="I1" s="2" t="inlineStr">
        <is>
          <t>Problem 1.3 Continued</t>
        </is>
      </c>
    </row>
    <row r="2" ht="15" customHeight="1">
      <c r="A2" s="4" t="inlineStr">
        <is>
          <t>Section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3" ht="15" customHeight="1">
      <c r="A3" s="4" t="inlineStr">
        <is>
          <t>Date</t>
        </is>
      </c>
      <c r="B3" s="4" t="n"/>
      <c r="C3" s="4" t="n"/>
      <c r="D3" s="4" t="n"/>
      <c r="E3" s="4" t="n"/>
      <c r="F3" s="4" t="n"/>
      <c r="G3" s="4" t="n"/>
      <c r="H3" s="4" t="n"/>
      <c r="I3" s="20" t="inlineStr">
        <is>
          <t>Divine Designs Co.</t>
        </is>
      </c>
    </row>
    <row r="4" ht="15" customHeight="1">
      <c r="I4" s="25" t="n"/>
    </row>
    <row r="5" ht="15" customHeight="1" thickBot="1">
      <c r="B5" s="3" t="inlineStr">
        <is>
          <t>(a) Continued</t>
        </is>
      </c>
    </row>
    <row r="6" ht="15" customHeight="1" thickTop="1">
      <c r="B6" s="92" t="inlineStr">
        <is>
          <t>Divine Designs Co.</t>
        </is>
      </c>
      <c r="C6" s="93" t="n"/>
      <c r="D6" s="93" t="n"/>
      <c r="E6" s="93" t="n"/>
      <c r="F6" s="93" t="n"/>
      <c r="G6" s="93" t="n"/>
      <c r="H6" s="94" t="n"/>
    </row>
    <row r="7" ht="15" customHeight="1">
      <c r="B7" s="95" t="inlineStr">
        <is>
          <t>Balance Sheet</t>
        </is>
      </c>
      <c r="H7" s="96" t="n"/>
    </row>
    <row r="8" ht="15" customHeight="1" thickBot="1">
      <c r="B8" s="102" t="n">
        <v>44742</v>
      </c>
      <c r="C8" s="98" t="n"/>
      <c r="D8" s="98" t="n"/>
      <c r="E8" s="98" t="n"/>
      <c r="F8" s="98" t="n"/>
      <c r="G8" s="98" t="n"/>
      <c r="H8" s="99" t="n"/>
    </row>
    <row r="9" ht="15" customHeight="1" thickTop="1">
      <c r="A9" s="3" t="n">
        <v>1</v>
      </c>
      <c r="B9" s="103" t="inlineStr">
        <is>
          <t>Assets</t>
        </is>
      </c>
      <c r="C9" s="104" t="n"/>
      <c r="D9" s="104" t="n"/>
      <c r="E9" s="104" t="n"/>
      <c r="F9" s="104" t="n"/>
      <c r="G9" s="104" t="n"/>
      <c r="H9" s="105" t="n"/>
      <c r="I9" s="6" t="n">
        <v>1</v>
      </c>
    </row>
    <row r="10" ht="15" customHeight="1">
      <c r="A10" s="3" t="n">
        <v>2</v>
      </c>
      <c r="B10" s="11" t="inlineStr">
        <is>
          <t>Cash</t>
        </is>
      </c>
      <c r="C10" s="4" t="n"/>
      <c r="D10" s="4" t="n"/>
      <c r="E10" s="4" t="n"/>
      <c r="F10" s="4" t="n"/>
      <c r="G10" s="8" t="n"/>
      <c r="H10" s="46">
        <f>input!C9</f>
        <v/>
      </c>
      <c r="I10" s="6" t="n">
        <v>2</v>
      </c>
    </row>
    <row r="11" ht="15" customHeight="1">
      <c r="A11" s="3" t="n">
        <v>3</v>
      </c>
      <c r="B11" s="11" t="inlineStr">
        <is>
          <t>Accounts receivable</t>
        </is>
      </c>
      <c r="C11" s="4" t="n"/>
      <c r="D11" s="4" t="n"/>
      <c r="E11" s="4" t="n"/>
      <c r="F11" s="4" t="n"/>
      <c r="G11" s="8" t="n"/>
      <c r="H11" s="46">
        <f>input!C13</f>
        <v/>
      </c>
      <c r="I11" s="6" t="n">
        <v>3</v>
      </c>
    </row>
    <row r="12" ht="15" customHeight="1">
      <c r="A12" s="3" t="n">
        <v>4</v>
      </c>
      <c r="B12" s="11" t="inlineStr">
        <is>
          <t>Supplies</t>
        </is>
      </c>
      <c r="C12" s="4" t="n"/>
      <c r="D12" s="4" t="n"/>
      <c r="E12" s="4" t="n"/>
      <c r="F12" s="4" t="n"/>
      <c r="G12" s="8" t="n"/>
      <c r="H12" s="46">
        <f>input!C11</f>
        <v/>
      </c>
      <c r="I12" s="6" t="n">
        <v>4</v>
      </c>
    </row>
    <row r="13" ht="15" customHeight="1" thickBot="1">
      <c r="A13" s="3" t="n">
        <v>5</v>
      </c>
      <c r="B13" s="13" t="inlineStr">
        <is>
          <t>Equipment</t>
        </is>
      </c>
      <c r="C13" s="14" t="n"/>
      <c r="D13" s="14" t="n"/>
      <c r="E13" s="14" t="n"/>
      <c r="F13" s="14" t="n"/>
      <c r="G13" s="15" t="n"/>
      <c r="H13" s="50">
        <f>input!C5</f>
        <v/>
      </c>
      <c r="I13" s="6" t="n">
        <v>5</v>
      </c>
    </row>
    <row r="14" ht="15" customHeight="1">
      <c r="A14" s="3" t="n">
        <v>6</v>
      </c>
      <c r="B14" s="7" t="n"/>
      <c r="C14" s="1" t="inlineStr">
        <is>
          <t>Total Assets</t>
        </is>
      </c>
      <c r="D14" s="1" t="n"/>
      <c r="E14" s="1" t="n"/>
      <c r="F14" s="1" t="n"/>
      <c r="G14" s="9" t="n"/>
      <c r="H14" s="47">
        <f>SUM(H10:H13)</f>
        <v/>
      </c>
      <c r="I14" s="6" t="n">
        <v>6</v>
      </c>
    </row>
    <row r="15" ht="15" customHeight="1">
      <c r="A15" s="3" t="n">
        <v>7</v>
      </c>
      <c r="B15" s="11" t="n"/>
      <c r="C15" s="4" t="n"/>
      <c r="D15" s="4" t="n"/>
      <c r="E15" s="4" t="n"/>
      <c r="F15" s="4" t="n"/>
      <c r="G15" s="8" t="n"/>
      <c r="H15" s="28" t="n"/>
      <c r="I15" s="6" t="n">
        <v>7</v>
      </c>
    </row>
    <row r="16" ht="15" customHeight="1">
      <c r="A16" s="3" t="n">
        <v>8</v>
      </c>
      <c r="B16" s="11" t="n"/>
      <c r="C16" s="4" t="n"/>
      <c r="D16" s="4" t="n"/>
      <c r="E16" s="4" t="n"/>
      <c r="F16" s="4" t="n"/>
      <c r="G16" s="8" t="n"/>
      <c r="H16" s="28" t="n"/>
      <c r="I16" s="6" t="n">
        <v>8</v>
      </c>
    </row>
    <row r="17" ht="15" customHeight="1">
      <c r="A17" s="3" t="n">
        <v>9</v>
      </c>
      <c r="B17" s="17" t="n"/>
      <c r="C17" s="4" t="n"/>
      <c r="D17" s="4" t="n"/>
      <c r="E17" s="4" t="n"/>
      <c r="F17" s="4" t="n"/>
      <c r="G17" s="8" t="n"/>
      <c r="H17" s="28" t="n"/>
      <c r="I17" s="6" t="n">
        <v>9</v>
      </c>
    </row>
    <row r="18" ht="15" customHeight="1" thickBot="1">
      <c r="A18" s="3" t="n">
        <v>10</v>
      </c>
      <c r="B18" s="106" t="inlineStr">
        <is>
          <t>Liabilities and Owner's Equity</t>
        </is>
      </c>
      <c r="C18" s="107" t="n"/>
      <c r="D18" s="107" t="n"/>
      <c r="E18" s="107" t="n"/>
      <c r="F18" s="107" t="n"/>
      <c r="G18" s="107" t="n"/>
      <c r="H18" s="108" t="n"/>
      <c r="I18" s="6" t="n">
        <v>10</v>
      </c>
    </row>
    <row r="19" ht="15" customHeight="1">
      <c r="A19" s="3" t="n">
        <v>11</v>
      </c>
      <c r="B19" s="7" t="inlineStr">
        <is>
          <t>Liabilities</t>
        </is>
      </c>
      <c r="C19" s="1" t="n"/>
      <c r="D19" s="1" t="n"/>
      <c r="E19" s="1" t="n"/>
      <c r="F19" s="1" t="n"/>
      <c r="G19" s="9" t="n"/>
      <c r="H19" s="29" t="n"/>
      <c r="I19" s="6" t="n">
        <v>11</v>
      </c>
    </row>
    <row r="20" ht="15" customHeight="1">
      <c r="A20" s="3" t="n">
        <v>12</v>
      </c>
      <c r="B20" s="11" t="n"/>
      <c r="C20" s="4" t="inlineStr">
        <is>
          <t>Accounts Payable</t>
        </is>
      </c>
      <c r="D20" s="4" t="n"/>
      <c r="E20" s="4" t="n"/>
      <c r="F20" s="4" t="n"/>
      <c r="G20" s="8" t="n"/>
      <c r="H20" s="46">
        <f>input!C4</f>
        <v/>
      </c>
      <c r="I20" s="6" t="n">
        <v>12</v>
      </c>
    </row>
    <row r="21" ht="15" customHeight="1">
      <c r="A21" s="3" t="n">
        <v>13</v>
      </c>
      <c r="B21" s="11" t="inlineStr">
        <is>
          <t>Owner's Equity</t>
        </is>
      </c>
      <c r="C21" s="4" t="n"/>
      <c r="D21" s="4" t="n"/>
      <c r="E21" s="4" t="n"/>
      <c r="F21" s="4" t="n"/>
      <c r="G21" s="8" t="n"/>
      <c r="H21" s="28" t="n"/>
      <c r="I21" s="6" t="n">
        <v>13</v>
      </c>
    </row>
    <row r="22" ht="15" customHeight="1">
      <c r="A22" s="3" t="n">
        <v>14</v>
      </c>
      <c r="B22" s="11" t="inlineStr">
        <is>
          <t xml:space="preserve"> </t>
        </is>
      </c>
      <c r="C22" s="4" t="inlineStr">
        <is>
          <t>Owner's Capital</t>
        </is>
      </c>
      <c r="D22" s="4" t="n"/>
      <c r="E22" s="4" t="n"/>
      <c r="F22" s="4" t="n"/>
      <c r="G22" s="8" t="n"/>
      <c r="H22" s="100">
        <f>'income statement and owners ref'!H38</f>
        <v/>
      </c>
      <c r="I22" s="6" t="n">
        <v>14</v>
      </c>
    </row>
    <row r="23" ht="15" customHeight="1" thickBot="1">
      <c r="A23" s="3" t="n">
        <v>15</v>
      </c>
      <c r="B23" s="13" t="inlineStr">
        <is>
          <t>Total liabilities and owner's equity</t>
        </is>
      </c>
      <c r="C23" s="14" t="n"/>
      <c r="D23" s="14" t="n"/>
      <c r="E23" s="14" t="n"/>
      <c r="F23" s="14" t="n"/>
      <c r="G23" s="15" t="n"/>
      <c r="H23" s="101">
        <f>H20+H22</f>
        <v/>
      </c>
      <c r="I23" s="6" t="n">
        <v>15</v>
      </c>
      <c r="K23" s="109">
        <f>H23-H14</f>
        <v/>
      </c>
    </row>
    <row r="24" ht="15" customHeight="1">
      <c r="A24" s="3" t="n">
        <v>16</v>
      </c>
      <c r="B24" s="7" t="n"/>
      <c r="C24" s="1" t="n"/>
      <c r="D24" s="1" t="n"/>
      <c r="E24" s="1" t="n"/>
      <c r="F24" s="1" t="n"/>
      <c r="G24" s="9" t="n"/>
      <c r="H24" s="29" t="n"/>
      <c r="I24" s="6" t="n">
        <v>16</v>
      </c>
    </row>
    <row r="25" ht="15" customHeight="1">
      <c r="A25" s="3" t="n">
        <v>17</v>
      </c>
      <c r="B25" s="11" t="n"/>
      <c r="C25" s="4" t="n"/>
      <c r="D25" s="4" t="n"/>
      <c r="E25" s="4" t="n"/>
      <c r="F25" s="4" t="n"/>
      <c r="G25" s="8" t="n"/>
      <c r="H25" s="28" t="n"/>
      <c r="I25" s="6" t="n">
        <v>17</v>
      </c>
    </row>
    <row r="26" ht="15" customHeight="1">
      <c r="A26" s="3" t="n">
        <v>18</v>
      </c>
      <c r="B26" s="11" t="n"/>
      <c r="C26" s="4" t="n"/>
      <c r="D26" s="4" t="n"/>
      <c r="E26" s="4" t="n"/>
      <c r="F26" s="4" t="n"/>
      <c r="G26" s="8" t="n"/>
      <c r="H26" s="28" t="n"/>
      <c r="I26" s="6" t="n">
        <v>18</v>
      </c>
    </row>
    <row r="27" ht="15" customHeight="1">
      <c r="A27" s="3" t="n">
        <v>19</v>
      </c>
      <c r="B27" s="17" t="n"/>
      <c r="C27" s="4" t="n"/>
      <c r="D27" s="4" t="n"/>
      <c r="E27" s="4" t="n"/>
      <c r="F27" s="4" t="n"/>
      <c r="G27" s="27" t="n"/>
      <c r="H27" s="28" t="n"/>
      <c r="I27" s="6" t="n">
        <v>19</v>
      </c>
    </row>
    <row r="28" ht="15" customHeight="1" thickBot="1">
      <c r="A28" s="3" t="n">
        <v>20</v>
      </c>
      <c r="B28" s="24" t="n"/>
      <c r="C28" s="21" t="n"/>
      <c r="D28" s="21" t="n"/>
      <c r="E28" s="21" t="n"/>
      <c r="F28" s="21" t="n"/>
      <c r="G28" s="34" t="n"/>
      <c r="H28" s="31" t="n"/>
      <c r="I28" s="6" t="n">
        <v>20</v>
      </c>
    </row>
    <row r="29" ht="15" customHeight="1" thickTop="1">
      <c r="A29" s="6" t="n"/>
    </row>
    <row r="30" ht="15" customHeight="1"/>
    <row r="31" ht="15" customHeight="1"/>
    <row r="32" ht="15" customHeight="1"/>
    <row r="33" ht="15" customHeight="1"/>
    <row r="34" ht="15" customHeight="1">
      <c r="A34" s="6" t="n"/>
    </row>
    <row r="35" ht="15" customHeight="1">
      <c r="A35" s="6" t="n"/>
    </row>
    <row r="36" ht="15" customHeight="1">
      <c r="A36" s="6" t="n"/>
    </row>
    <row r="37" ht="15" customHeight="1">
      <c r="A37" s="6" t="n"/>
    </row>
    <row r="38" ht="15" customHeight="1">
      <c r="A38" s="6" t="n"/>
    </row>
    <row r="39" ht="15" customHeight="1">
      <c r="A39" s="6" t="n"/>
    </row>
    <row r="40" ht="15" customHeight="1">
      <c r="A40" s="6" t="n"/>
    </row>
    <row r="41" ht="15" customHeight="1">
      <c r="A41" s="6" t="n"/>
    </row>
    <row r="42" ht="15" customHeight="1">
      <c r="A42" s="6" t="n"/>
    </row>
    <row r="43" ht="15" customHeight="1">
      <c r="A43" s="6" t="n"/>
    </row>
    <row r="44" ht="15" customHeight="1">
      <c r="A44" s="6" t="n"/>
    </row>
    <row r="45" ht="15" customHeight="1">
      <c r="A45" s="6" t="n"/>
    </row>
    <row r="46" ht="15" customHeight="1">
      <c r="A46" s="6" t="n"/>
    </row>
    <row r="47" ht="15" customHeight="1">
      <c r="A47" s="6" t="n"/>
    </row>
    <row r="48" ht="15" customHeight="1">
      <c r="A48" s="6" t="n"/>
    </row>
    <row r="49" ht="15" customHeight="1"/>
    <row r="50" ht="15" customHeight="1"/>
    <row r="51" ht="15" customHeight="1"/>
    <row r="52" ht="15" customHeight="1"/>
  </sheetData>
  <mergeCells count="5">
    <mergeCell ref="B8:H8"/>
    <mergeCell ref="B9:H9"/>
    <mergeCell ref="B18:H18"/>
    <mergeCell ref="B6:H6"/>
    <mergeCell ref="B7:H7"/>
  </mergeCells>
  <pageMargins left="0.5629999999999999" right="1.125" top="0.33" bottom="0.5" header="0" footer="0.35"/>
  <pageSetup orientation="portrait" scale="99" horizontalDpi="300" verticalDpi="300"/>
  <colBreaks count="1" manualBreakCount="1">
    <brk id="9" min="0" max="50" man="1"/>
  </colBreak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</cols>
  <sheetData>
    <row r="1">
      <c r="A1" s="110" t="inlineStr">
        <is>
          <t>Mr Cole Printing Shop — Trial Balance 30 Sept 2027 (with inherited opening errors)</t>
        </is>
      </c>
    </row>
    <row r="2">
      <c r="A2" t="inlineStr">
        <is>
          <t>Opening AP &amp; Notes Payable were listed as DEBITS in owner spreadsheet — intentional imbalance $24,000</t>
        </is>
      </c>
    </row>
    <row r="4">
      <c r="A4" s="111" t="inlineStr">
        <is>
          <t>Account</t>
        </is>
      </c>
      <c r="B4" s="111" t="inlineStr">
        <is>
          <t>Debit</t>
        </is>
      </c>
      <c r="C4" s="111" t="inlineStr">
        <is>
          <t>Credit</t>
        </is>
      </c>
    </row>
    <row r="5">
      <c r="A5" s="112" t="inlineStr">
        <is>
          <t>Cash at Bank</t>
        </is>
      </c>
      <c r="B5" s="113" t="n">
        <v>33200</v>
      </c>
      <c r="C5" s="112" t="inlineStr"/>
    </row>
    <row r="6">
      <c r="A6" s="112" t="inlineStr">
        <is>
          <t>Accounts Receivable</t>
        </is>
      </c>
      <c r="B6" s="113" t="n">
        <v>5500</v>
      </c>
      <c r="C6" s="112" t="inlineStr"/>
    </row>
    <row r="7">
      <c r="A7" s="112" t="inlineStr">
        <is>
          <t>Supplies</t>
        </is>
      </c>
      <c r="B7" s="113" t="n">
        <v>2600</v>
      </c>
      <c r="C7" s="112" t="inlineStr"/>
    </row>
    <row r="8">
      <c r="A8" s="112" t="inlineStr">
        <is>
          <t>Equipment</t>
        </is>
      </c>
      <c r="B8" s="113" t="n">
        <v>10000</v>
      </c>
      <c r="C8" s="112" t="inlineStr"/>
    </row>
    <row r="9">
      <c r="A9" s="112" t="inlineStr">
        <is>
          <t>Accounts Payable</t>
        </is>
      </c>
      <c r="B9" s="113" t="n">
        <v>3800</v>
      </c>
      <c r="C9" s="112" t="inlineStr"/>
    </row>
    <row r="10">
      <c r="A10" s="112" t="inlineStr">
        <is>
          <t>Notes Payable</t>
        </is>
      </c>
      <c r="B10" s="112" t="inlineStr"/>
      <c r="C10" s="113" t="n">
        <v>2000</v>
      </c>
    </row>
    <row r="11">
      <c r="A11" s="112" t="inlineStr">
        <is>
          <t>Owner's Capital</t>
        </is>
      </c>
      <c r="B11" s="112" t="inlineStr"/>
      <c r="C11" s="113" t="n">
        <v>30000</v>
      </c>
    </row>
    <row r="12">
      <c r="A12" s="112" t="inlineStr">
        <is>
          <t>Owner's Drawing</t>
        </is>
      </c>
      <c r="B12" s="113" t="n">
        <v>1800</v>
      </c>
      <c r="C12" s="112" t="inlineStr"/>
    </row>
    <row r="13">
      <c r="A13" s="112" t="inlineStr">
        <is>
          <t>Service Revenue</t>
        </is>
      </c>
      <c r="B13" s="112" t="inlineStr"/>
      <c r="C13" s="113" t="n">
        <v>6000</v>
      </c>
    </row>
    <row r="14">
      <c r="A14" s="112" t="inlineStr">
        <is>
          <t>Rent Expense</t>
        </is>
      </c>
      <c r="B14" s="113" t="n">
        <v>1800</v>
      </c>
      <c r="C14" s="112" t="inlineStr"/>
    </row>
    <row r="15">
      <c r="A15" s="112" t="inlineStr">
        <is>
          <t>Salaries and Wages Expense</t>
        </is>
      </c>
      <c r="B15" s="113" t="n">
        <v>2500</v>
      </c>
      <c r="C15" s="112" t="inlineStr"/>
    </row>
    <row r="16">
      <c r="A16" s="112" t="inlineStr">
        <is>
          <t>Advertising Expense</t>
        </is>
      </c>
      <c r="B16" s="113" t="n">
        <v>800</v>
      </c>
      <c r="C16" s="112" t="inlineStr"/>
    </row>
    <row r="17">
      <c r="A17" s="111" t="inlineStr">
        <is>
          <t>Totals</t>
        </is>
      </c>
      <c r="B17" s="114" t="n">
        <v>62000</v>
      </c>
      <c r="C17" s="114" t="n">
        <v>38000</v>
      </c>
    </row>
    <row r="18">
      <c r="A18" t="inlineStr">
        <is>
          <t>Difference (Dr−Cr)=24000 — equals opening imbalance. September journals are balanced ($56,200=$56,200).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10" t="inlineStr">
        <is>
          <t>Illawarra Yacht Club — March 2027 Correct Net Income</t>
        </is>
      </c>
    </row>
    <row r="3">
      <c r="A3" s="111" t="inlineStr">
        <is>
          <t>Item</t>
        </is>
      </c>
      <c r="B3" s="111" t="inlineStr">
        <is>
          <t>Amount</t>
        </is>
      </c>
    </row>
    <row r="4">
      <c r="A4" s="112" t="inlineStr">
        <is>
          <t>Unadjusted revenue</t>
        </is>
      </c>
      <c r="B4" s="113" t="n">
        <v>9500</v>
      </c>
    </row>
    <row r="5">
      <c r="A5" s="112" t="inlineStr">
        <is>
          <t>Add: unbilled revenue</t>
        </is>
      </c>
      <c r="B5" s="113" t="n">
        <v>1400</v>
      </c>
    </row>
    <row r="6">
      <c r="A6" s="112" t="inlineStr">
        <is>
          <t>Add: unearned now earned</t>
        </is>
      </c>
      <c r="B6" s="113" t="n">
        <v>2600</v>
      </c>
    </row>
    <row r="7">
      <c r="A7" s="112" t="inlineStr">
        <is>
          <t>Correct revenue</t>
        </is>
      </c>
      <c r="B7" s="113" t="n">
        <v>13500</v>
      </c>
    </row>
    <row r="8">
      <c r="A8" s="112" t="inlineStr">
        <is>
          <t>Unadjusted expenses</t>
        </is>
      </c>
      <c r="B8" s="113" t="n">
        <v>4400</v>
      </c>
    </row>
    <row r="9">
      <c r="A9" s="112" t="inlineStr">
        <is>
          <t>Add: depreciation</t>
        </is>
      </c>
      <c r="B9" s="113" t="n">
        <v>2500</v>
      </c>
    </row>
    <row r="10">
      <c r="A10" s="112" t="inlineStr">
        <is>
          <t>Add: accrued interest</t>
        </is>
      </c>
      <c r="B10" s="113" t="n">
        <v>1500</v>
      </c>
    </row>
    <row r="11">
      <c r="A11" s="112" t="inlineStr">
        <is>
          <t>Add: insurance expired</t>
        </is>
      </c>
      <c r="B11" s="113" t="n">
        <v>600</v>
      </c>
    </row>
    <row r="12">
      <c r="A12" s="112" t="inlineStr">
        <is>
          <t>Correct expenses</t>
        </is>
      </c>
      <c r="B12" s="113" t="n">
        <v>9000</v>
      </c>
    </row>
    <row r="13">
      <c r="A13" s="111" t="inlineStr">
        <is>
          <t>Correct net income</t>
        </is>
      </c>
      <c r="B13" s="114" t="n">
        <v>4500</v>
      </c>
    </row>
    <row r="14">
      <c r="A14" s="115" t="inlineStr">
        <is>
          <t>Answer: $4,500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</cols>
  <sheetData>
    <row r="1">
      <c r="A1" s="110" t="inlineStr">
        <is>
          <t>Rodney Fitness — Adjusted Trial Balance June 30, 2027</t>
        </is>
      </c>
    </row>
    <row r="3">
      <c r="A3" s="111" t="inlineStr">
        <is>
          <t>Account</t>
        </is>
      </c>
      <c r="B3" s="111" t="inlineStr">
        <is>
          <t>Debit</t>
        </is>
      </c>
      <c r="C3" s="111" t="inlineStr">
        <is>
          <t>Credit</t>
        </is>
      </c>
    </row>
    <row r="4">
      <c r="A4" s="112" t="inlineStr">
        <is>
          <t>Cash</t>
        </is>
      </c>
      <c r="B4" s="113" t="n">
        <v>6000</v>
      </c>
      <c r="C4" s="112" t="inlineStr"/>
    </row>
    <row r="5">
      <c r="A5" s="112" t="inlineStr">
        <is>
          <t>Accounts Receivable</t>
        </is>
      </c>
      <c r="B5" s="113" t="n">
        <v>7500</v>
      </c>
      <c r="C5" s="112" t="inlineStr"/>
    </row>
    <row r="6">
      <c r="A6" s="112" t="inlineStr">
        <is>
          <t>Supplies</t>
        </is>
      </c>
      <c r="B6" s="113" t="n">
        <v>950</v>
      </c>
      <c r="C6" s="112" t="inlineStr"/>
    </row>
    <row r="7">
      <c r="A7" s="112" t="inlineStr">
        <is>
          <t>Prepaid Insurance</t>
        </is>
      </c>
      <c r="B7" s="113" t="n">
        <v>3850</v>
      </c>
      <c r="C7" s="112" t="inlineStr"/>
    </row>
    <row r="8">
      <c r="A8" s="112" t="inlineStr">
        <is>
          <t>Equipment</t>
        </is>
      </c>
      <c r="B8" s="113" t="n">
        <v>16150</v>
      </c>
      <c r="C8" s="112" t="inlineStr"/>
    </row>
    <row r="9">
      <c r="A9" s="112" t="inlineStr">
        <is>
          <t>Accumulated Depreciation—Equipment</t>
        </is>
      </c>
      <c r="B9" s="112" t="inlineStr"/>
      <c r="C9" s="113" t="n">
        <v>350</v>
      </c>
    </row>
    <row r="10">
      <c r="A10" s="112" t="inlineStr">
        <is>
          <t>Accounts Payable</t>
        </is>
      </c>
      <c r="B10" s="112" t="inlineStr"/>
      <c r="C10" s="113" t="n">
        <v>3775</v>
      </c>
    </row>
    <row r="11">
      <c r="A11" s="112" t="inlineStr">
        <is>
          <t>Salaries and Wages Payable</t>
        </is>
      </c>
      <c r="B11" s="112" t="inlineStr"/>
      <c r="C11" s="113" t="n">
        <v>2100</v>
      </c>
    </row>
    <row r="12">
      <c r="A12" s="112" t="inlineStr">
        <is>
          <t>Unearned Service Revenue</t>
        </is>
      </c>
      <c r="B12" s="112" t="inlineStr"/>
      <c r="C12" s="113" t="n">
        <v>2500</v>
      </c>
    </row>
    <row r="13">
      <c r="A13" s="112" t="inlineStr">
        <is>
          <t>Owner's Capital</t>
        </is>
      </c>
      <c r="B13" s="112" t="inlineStr"/>
      <c r="C13" s="113" t="n">
        <v>23750</v>
      </c>
    </row>
    <row r="14">
      <c r="A14" s="112" t="inlineStr">
        <is>
          <t>Service Revenue</t>
        </is>
      </c>
      <c r="B14" s="112" t="inlineStr"/>
      <c r="C14" s="113" t="n">
        <v>9900</v>
      </c>
    </row>
    <row r="15">
      <c r="A15" s="112" t="inlineStr">
        <is>
          <t>Supplies Expense</t>
        </is>
      </c>
      <c r="B15" s="113" t="n">
        <v>850</v>
      </c>
      <c r="C15" s="112" t="inlineStr"/>
    </row>
    <row r="16">
      <c r="A16" s="112" t="inlineStr">
        <is>
          <t>Depreciation Expense</t>
        </is>
      </c>
      <c r="B16" s="113" t="n">
        <v>350</v>
      </c>
      <c r="C16" s="112" t="inlineStr"/>
    </row>
    <row r="17">
      <c r="A17" s="112" t="inlineStr">
        <is>
          <t>Insurance Expense</t>
        </is>
      </c>
      <c r="B17" s="113" t="n">
        <v>350</v>
      </c>
      <c r="C17" s="112" t="inlineStr"/>
    </row>
    <row r="18">
      <c r="A18" s="112" t="inlineStr">
        <is>
          <t>Salaries and Wages Expense</t>
        </is>
      </c>
      <c r="B18" s="113" t="n">
        <v>5100</v>
      </c>
      <c r="C18" s="112" t="inlineStr"/>
    </row>
    <row r="19">
      <c r="A19" s="112" t="inlineStr">
        <is>
          <t>Rent Expense</t>
        </is>
      </c>
      <c r="B19" s="113" t="n">
        <v>1000</v>
      </c>
      <c r="C19" s="112" t="inlineStr"/>
    </row>
    <row r="20">
      <c r="A20" s="112" t="inlineStr">
        <is>
          <t>Utilities Expense</t>
        </is>
      </c>
      <c r="B20" s="113" t="n">
        <v>275</v>
      </c>
      <c r="C20" s="112" t="inlineStr"/>
    </row>
    <row r="21">
      <c r="A21" s="111" t="inlineStr">
        <is>
          <t>Totals</t>
        </is>
      </c>
      <c r="B21" s="114" t="n">
        <v>42375</v>
      </c>
      <c r="C21" s="114" t="n">
        <v>42375</v>
      </c>
    </row>
    <row r="23">
      <c r="A23" t="inlineStr">
        <is>
          <t>Adjusting entries detail is in Assessment1A_Worked_Solutions.docx (Q4).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Alma Wasson</dc:creator>
  <dcterms:created xmlns:dcterms="http://purl.org/dc/terms/" xmlns:xsi="http://www.w3.org/2001/XMLSchema-instance" xsi:type="dcterms:W3CDTF">2000-11-28T04:52:20Z</dcterms:created>
  <dcterms:modified xmlns:dcterms="http://purl.org/dc/terms/" xmlns:xsi="http://www.w3.org/2001/XMLSchema-instance" xsi:type="dcterms:W3CDTF">2026-08-13T04:24:52Z</dcterms:modified>
  <cp:lastModifiedBy>博 张</cp:lastModifiedBy>
  <cp:lastPrinted>2020-06-14T14:54:32Z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0x0101008A57AECF73F69A44B169BEF2750F4B5A</vt:lpwstr>
  </property>
  <property name="MediaServiceImageTags" fmtid="{D5CDD505-2E9C-101B-9397-08002B2CF9AE}" pid="3">
    <vt:lpwstr xmlns:vt="http://schemas.openxmlformats.org/officeDocument/2006/docPropsVTypes"/>
  </property>
</Properties>
</file>