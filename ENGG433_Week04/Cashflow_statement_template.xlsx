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17.2 Classification" sheetId="2" state="visible" r:id="rId2"/>
    <sheet name="E17.12 Direct Method" sheetId="3" state="visible" r:id="rId3"/>
  </sheets>
  <definedNames>
    <definedName name="_xlnm.Print_Titles" localSheetId="1">'E17.2 Classification'!$1:$7</definedName>
    <definedName name="_xlnm.Print_Area" localSheetId="2">'E17.12 Direct Method'!$A$1:$H$43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;($#,##0.0);&quot;—&quot;"/>
  </numFmts>
  <fonts count="16">
    <font>
      <name val="Calibri"/>
      <family val="2"/>
      <color theme="1"/>
      <sz val="11"/>
      <scheme val="minor"/>
    </font>
    <font>
      <name val="Calibri"/>
      <i val="1"/>
      <color rgb="002E75B6"/>
      <sz val="12"/>
    </font>
    <font>
      <name val="Calibri"/>
      <b val="1"/>
      <color rgb="001F4E79"/>
      <sz val="18"/>
    </font>
    <font>
      <name val="Calibri"/>
      <color rgb="002E75B6"/>
      <sz val="13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i val="1"/>
      <color rgb="00666666"/>
      <sz val="10"/>
    </font>
    <font>
      <name val="Calibri"/>
      <b val="1"/>
      <color rgb="001F4E79"/>
      <sz val="12"/>
    </font>
    <font>
      <name val="Calibri"/>
      <b val="1"/>
      <color rgb="00375623"/>
      <sz val="11"/>
    </font>
    <font>
      <name val="Calibri"/>
      <sz val="10"/>
    </font>
    <font>
      <name val="Calibri"/>
      <i val="1"/>
      <color rgb="00C00000"/>
      <sz val="10"/>
    </font>
    <font>
      <name val="Calibri"/>
      <sz val="11"/>
    </font>
    <font>
      <name val="Calibri"/>
      <b val="1"/>
      <color rgb="00375623"/>
      <sz val="12"/>
    </font>
    <font>
      <name val="Calibri"/>
      <i val="1"/>
      <color rgb="002E75B6"/>
      <sz val="10"/>
    </font>
    <font>
      <name val="Calibri"/>
      <b val="1"/>
      <color rgb="00375623"/>
      <sz val="14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EEBF7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1F4E79"/>
      </top>
      <bottom style="medium">
        <color rgb="001F4E79"/>
      </bottom>
    </border>
    <border>
      <left style="thin">
        <color rgb="00BDD7EE"/>
      </left>
      <right style="thin">
        <color rgb="00BDD7EE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3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7" fillId="0" borderId="0" pivotButton="0" quotePrefix="0" xfId="0"/>
    <xf numFmtId="0" fontId="8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11" fillId="0" borderId="0" pivotButton="0" quotePrefix="0" xfId="0"/>
    <xf numFmtId="0" fontId="4" fillId="8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6" fillId="3" borderId="2" pivotButton="0" quotePrefix="0" xfId="0"/>
    <xf numFmtId="164" fontId="12" fillId="9" borderId="2" applyAlignment="1" pivotButton="0" quotePrefix="0" xfId="0">
      <alignment horizontal="right" vertical="center"/>
    </xf>
    <xf numFmtId="164" fontId="12" fillId="0" borderId="2" applyAlignment="1" pivotButton="0" quotePrefix="0" xfId="0">
      <alignment horizontal="right" vertical="center"/>
    </xf>
    <xf numFmtId="0" fontId="6" fillId="4" borderId="2" pivotButton="0" quotePrefix="0" xfId="0"/>
    <xf numFmtId="0" fontId="10" fillId="10" borderId="2" applyAlignment="1" pivotButton="0" quotePrefix="0" xfId="0">
      <alignment horizontal="left" vertical="center" wrapText="1"/>
    </xf>
    <xf numFmtId="0" fontId="0" fillId="10" borderId="2" pivotButton="0" quotePrefix="0" xfId="0"/>
    <xf numFmtId="164" fontId="12" fillId="4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5" fillId="6" borderId="2" pivotButton="0" quotePrefix="0" xfId="0"/>
    <xf numFmtId="164" fontId="12" fillId="4" borderId="3" applyAlignment="1" pivotButton="0" quotePrefix="0" xfId="0">
      <alignment horizontal="right" vertical="center"/>
    </xf>
    <xf numFmtId="0" fontId="5" fillId="5" borderId="2" pivotButton="0" quotePrefix="0" xfId="0"/>
    <xf numFmtId="164" fontId="13" fillId="5" borderId="4" applyAlignment="1" pivotButton="0" quotePrefix="0" xfId="0">
      <alignment horizontal="right" vertical="center"/>
    </xf>
    <xf numFmtId="0" fontId="14" fillId="0" borderId="0" pivotButton="0" quotePrefix="0" xfId="0"/>
    <xf numFmtId="0" fontId="5" fillId="3" borderId="2" pivotButton="0" quotePrefix="0" xfId="0"/>
    <xf numFmtId="164" fontId="1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28" customWidth="1" min="4" max="4"/>
    <col width="18" customWidth="1" min="5" max="5"/>
  </cols>
  <sheetData>
    <row r="2">
      <c r="B2" s="1" t="inlineStr">
        <is>
          <t>ENGG433 / ENGG956  ·  Financial Management for Engineers</t>
        </is>
      </c>
    </row>
    <row r="3">
      <c r="B3" s="2" t="inlineStr">
        <is>
          <t>Week 4 Tutorial  ·  Statement of Cash Flows</t>
        </is>
      </c>
    </row>
    <row r="4">
      <c r="B4" s="3" t="inlineStr">
        <is>
          <t>Cash-flow statement template  ·  E17.2  and  E17.12</t>
        </is>
      </c>
    </row>
    <row r="6" ht="22" customHeight="1">
      <c r="B6" s="4" t="inlineStr">
        <is>
          <t>Workbook map</t>
        </is>
      </c>
      <c r="C6" s="5" t="n"/>
    </row>
    <row r="7" ht="36" customHeight="1">
      <c r="B7" s="6" t="inlineStr">
        <is>
          <t>Sheet</t>
        </is>
      </c>
      <c r="C7" s="7" t="inlineStr">
        <is>
          <t>What to do</t>
        </is>
      </c>
      <c r="D7" s="8" t="n"/>
    </row>
    <row r="8" ht="36" customHeight="1">
      <c r="B8" s="6" t="inlineStr">
        <is>
          <t>E17.2 Classification</t>
        </is>
      </c>
      <c r="C8" s="7" t="inlineStr">
        <is>
          <t>Classify each Hailey Corp. item into one of four SCF categories (indirect method).</t>
        </is>
      </c>
      <c r="D8" s="8" t="n"/>
    </row>
    <row r="9" ht="36" customHeight="1">
      <c r="B9" s="6" t="inlineStr">
        <is>
          <t>E17.12 Direct Method</t>
        </is>
      </c>
      <c r="C9" s="7" t="inlineStr">
        <is>
          <t>Compute cash payments to suppliers and cash payments for operating expenses.</t>
        </is>
      </c>
      <c r="D9" s="8" t="n"/>
    </row>
    <row r="10" ht="36" customHeight="1">
      <c r="B10" s="6" t="inlineStr">
        <is>
          <t>How to use</t>
        </is>
      </c>
      <c r="C10" s="7" t="inlineStr">
        <is>
          <t>Yellow cells are inputs already filled from the tutorial PDF. Green cells are formula answers — do not overwrite.</t>
        </is>
      </c>
      <c r="D10" s="8" t="n"/>
    </row>
    <row r="11" ht="36" customHeight="1">
      <c r="B11" s="6" t="inlineStr">
        <is>
          <t>Indirect vs Direct</t>
        </is>
      </c>
      <c r="C11" s="7" t="inlineStr">
        <is>
          <t>Indirect starts from net income and adjusts. Direct reconstructs cash paid/received line by line. Both give the same operating cash flow.</t>
        </is>
      </c>
      <c r="D11" s="8" t="n"/>
    </row>
    <row r="12" ht="36" customHeight="1">
      <c r="B12" s="6" t="inlineStr">
        <is>
          <t>Four SCF sections</t>
        </is>
      </c>
      <c r="C12" s="7" t="inlineStr">
        <is>
          <t>Operating  ·  Investing  ·  Financing  ·  Significant non-cash investing &amp; financing (footnote / schedule).</t>
        </is>
      </c>
      <c r="D12" s="8" t="n"/>
    </row>
    <row r="14">
      <c r="B14" s="9" t="inlineStr">
        <is>
          <t>Source: Weygandt, Kimmel, Kieso — E17.2 (LO1) and E17.12 (LO4). Figures in E17.12 are in $ millions.</t>
        </is>
      </c>
    </row>
  </sheetData>
  <mergeCells count="11">
    <mergeCell ref="B6:C6"/>
    <mergeCell ref="C12:D12"/>
    <mergeCell ref="B14:D14"/>
    <mergeCell ref="C7:D7"/>
    <mergeCell ref="B4:E4"/>
    <mergeCell ref="C10:D10"/>
    <mergeCell ref="C11:D11"/>
    <mergeCell ref="B3:E3"/>
    <mergeCell ref="B2:E2"/>
    <mergeCell ref="C9:D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8" customWidth="1" min="3" max="3"/>
    <col width="18" customWidth="1" min="4" max="4"/>
    <col width="55" customWidth="1" min="5" max="5"/>
    <col width="22" customWidth="1" min="6" max="6"/>
  </cols>
  <sheetData>
    <row r="2">
      <c r="B2" s="2" t="inlineStr">
        <is>
          <t>E17.2 (LO 1)  ·  Classify transactions by type of activity</t>
        </is>
      </c>
    </row>
    <row r="3">
      <c r="B3" s="1" t="inlineStr">
        <is>
          <t>Hailey Corp.  ·  Statement of Cash Flows (indirect method)</t>
        </is>
      </c>
    </row>
    <row r="4" ht="32" customHeight="1">
      <c r="B4" s="9" t="inlineStr">
        <is>
          <t>Indicate where each item is presented. Assume all items involve cash unless stated otherwise. Operating items are those listed among the adjustments to net income.</t>
        </is>
      </c>
    </row>
    <row r="7" ht="24" customHeight="1">
      <c r="B7" s="4" t="inlineStr">
        <is>
          <t>Item</t>
        </is>
      </c>
      <c r="C7" s="4" t="inlineStr">
        <is>
          <t>Transaction</t>
        </is>
      </c>
      <c r="D7" s="4" t="inlineStr">
        <is>
          <t>Classification (answer)</t>
        </is>
      </c>
      <c r="E7" s="4" t="inlineStr">
        <is>
          <t>Cash effect</t>
        </is>
      </c>
      <c r="F7" s="4" t="inlineStr">
        <is>
          <t>Why / how it appears</t>
        </is>
      </c>
    </row>
    <row r="8" ht="48" customHeight="1">
      <c r="B8" s="10" t="inlineStr">
        <is>
          <t>a</t>
        </is>
      </c>
      <c r="C8" s="11" t="inlineStr">
        <is>
          <t>Exchange of land for patent</t>
        </is>
      </c>
      <c r="D8" s="12" t="inlineStr">
        <is>
          <t>Significant noncash investing and financing activity</t>
        </is>
      </c>
      <c r="E8" s="13" t="inlineStr">
        <is>
          <t>No cash</t>
        </is>
      </c>
      <c r="F8" s="14" t="inlineStr">
        <is>
          <t>Land given up, patent received — both investing assets, no cash. Disclose in a separate schedule (or notes).</t>
        </is>
      </c>
    </row>
    <row r="9" ht="48" customHeight="1">
      <c r="B9" s="15" t="inlineStr">
        <is>
          <t>b</t>
        </is>
      </c>
      <c r="C9" s="16" t="inlineStr">
        <is>
          <t>Sale of building at book value</t>
        </is>
      </c>
      <c r="D9" s="12" t="inlineStr">
        <is>
          <t>Investing activity</t>
        </is>
      </c>
      <c r="E9" s="17" t="inlineStr">
        <is>
          <t>Inflow</t>
        </is>
      </c>
      <c r="F9" s="18" t="inlineStr">
        <is>
          <t>Cash proceeds from disposing of a long-lived asset. Sold at book value → no gain/loss to adjust in operating.</t>
        </is>
      </c>
    </row>
    <row r="10" ht="48" customHeight="1">
      <c r="B10" s="10" t="inlineStr">
        <is>
          <t>c</t>
        </is>
      </c>
      <c r="C10" s="11" t="inlineStr">
        <is>
          <t>Payment of dividends</t>
        </is>
      </c>
      <c r="D10" s="12" t="inlineStr">
        <is>
          <t>Financing activity</t>
        </is>
      </c>
      <c r="E10" s="13" t="inlineStr">
        <is>
          <t>Outflow</t>
        </is>
      </c>
      <c r="F10" s="14" t="inlineStr">
        <is>
          <t>Cash returned to owners. (Declared but unpaid dividends are not a cash flow.)</t>
        </is>
      </c>
    </row>
    <row r="11" ht="48" customHeight="1">
      <c r="B11" s="15" t="inlineStr">
        <is>
          <t>d</t>
        </is>
      </c>
      <c r="C11" s="16" t="inlineStr">
        <is>
          <t>Depreciation of plant assets</t>
        </is>
      </c>
      <c r="D11" s="12" t="inlineStr">
        <is>
          <t>Operating activity</t>
        </is>
      </c>
      <c r="E11" s="17" t="inlineStr">
        <is>
          <t>Non-cash add-back</t>
        </is>
      </c>
      <c r="F11" s="18" t="inlineStr">
        <is>
          <t>Expense reduced NI but used no cash. Under the indirect method, ADD depreciation back to net income.</t>
        </is>
      </c>
    </row>
    <row r="12" ht="48" customHeight="1">
      <c r="B12" s="10" t="inlineStr">
        <is>
          <t>e</t>
        </is>
      </c>
      <c r="C12" s="11" t="inlineStr">
        <is>
          <t>Conversion of bonds into common stock</t>
        </is>
      </c>
      <c r="D12" s="12" t="inlineStr">
        <is>
          <t>Significant noncash investing and financing activity</t>
        </is>
      </c>
      <c r="E12" s="13" t="inlineStr">
        <is>
          <t>No cash</t>
        </is>
      </c>
      <c r="F12" s="14" t="inlineStr">
        <is>
          <t>Liability extinguished by issuing equity. Financing on both sides; disclose, do not put in the body of the SCF.</t>
        </is>
      </c>
    </row>
    <row r="13" ht="48" customHeight="1">
      <c r="B13" s="15" t="inlineStr">
        <is>
          <t>f</t>
        </is>
      </c>
      <c r="C13" s="16" t="inlineStr">
        <is>
          <t>Issuance of capital stock</t>
        </is>
      </c>
      <c r="D13" s="12" t="inlineStr">
        <is>
          <t>Financing activity</t>
        </is>
      </c>
      <c r="E13" s="17" t="inlineStr">
        <is>
          <t>Inflow</t>
        </is>
      </c>
      <c r="F13" s="18" t="inlineStr">
        <is>
          <t>Cash received from owners for shares issued.</t>
        </is>
      </c>
    </row>
    <row r="14" ht="48" customHeight="1">
      <c r="B14" s="10" t="inlineStr">
        <is>
          <t>g</t>
        </is>
      </c>
      <c r="C14" s="11" t="inlineStr">
        <is>
          <t>Amortization of patent</t>
        </is>
      </c>
      <c r="D14" s="12" t="inlineStr">
        <is>
          <t>Operating activity</t>
        </is>
      </c>
      <c r="E14" s="13" t="inlineStr">
        <is>
          <t>Non-cash add-back</t>
        </is>
      </c>
      <c r="F14" s="14" t="inlineStr">
        <is>
          <t>Same logic as depreciation: non-cash expense. ADD amortization back to net income.</t>
        </is>
      </c>
    </row>
    <row r="15" ht="48" customHeight="1">
      <c r="B15" s="15" t="inlineStr">
        <is>
          <t>h</t>
        </is>
      </c>
      <c r="C15" s="16" t="inlineStr">
        <is>
          <t>Issuance of bonds for land</t>
        </is>
      </c>
      <c r="D15" s="12" t="inlineStr">
        <is>
          <t>Significant noncash investing and financing activity</t>
        </is>
      </c>
      <c r="E15" s="17" t="inlineStr">
        <is>
          <t>No cash</t>
        </is>
      </c>
      <c r="F15" s="18" t="inlineStr">
        <is>
          <t>Investing (land acquired) + financing (bonds issued) in one non-cash deal. Disclose in the schedule.</t>
        </is>
      </c>
    </row>
    <row r="16" ht="48" customHeight="1">
      <c r="B16" s="10" t="inlineStr">
        <is>
          <t>i</t>
        </is>
      </c>
      <c r="C16" s="11" t="inlineStr">
        <is>
          <t>Purchase of land</t>
        </is>
      </c>
      <c r="D16" s="12" t="inlineStr">
        <is>
          <t>Investing activity</t>
        </is>
      </c>
      <c r="E16" s="13" t="inlineStr">
        <is>
          <t>Outflow</t>
        </is>
      </c>
      <c r="F16" s="14" t="inlineStr">
        <is>
          <t>Cash paid to acquire a long-lived productive asset.</t>
        </is>
      </c>
    </row>
    <row r="17" ht="48" customHeight="1">
      <c r="B17" s="15" t="inlineStr">
        <is>
          <t>j</t>
        </is>
      </c>
      <c r="C17" s="16" t="inlineStr">
        <is>
          <t>Loss on disposal of plant assets</t>
        </is>
      </c>
      <c r="D17" s="12" t="inlineStr">
        <is>
          <t>Operating activity</t>
        </is>
      </c>
      <c r="E17" s="17" t="inlineStr">
        <is>
          <t>Non-cash add-back</t>
        </is>
      </c>
      <c r="F17" s="18" t="inlineStr">
        <is>
          <t>Loss reduced NI but is not an operating cash outflow. ADD the loss back. (The cash proceeds, if any, go to Investing.)</t>
        </is>
      </c>
    </row>
    <row r="18" ht="48" customHeight="1">
      <c r="B18" s="10" t="inlineStr">
        <is>
          <t>k</t>
        </is>
      </c>
      <c r="C18" s="11" t="inlineStr">
        <is>
          <t>Retirement of bonds</t>
        </is>
      </c>
      <c r="D18" s="12" t="inlineStr">
        <is>
          <t>Financing activity</t>
        </is>
      </c>
      <c r="E18" s="13" t="inlineStr">
        <is>
          <t>Outflow</t>
        </is>
      </c>
      <c r="F18" s="14" t="inlineStr">
        <is>
          <t>Cash used to repay long-term debt principal. (Any gain/loss on extinguishment is an operating adjustment.)</t>
        </is>
      </c>
    </row>
    <row r="20" ht="22" customHeight="1">
      <c r="B20" s="4" t="inlineStr">
        <is>
          <t>Decision rules (memorise these)</t>
        </is>
      </c>
      <c r="C20" s="5" t="n"/>
      <c r="D20" s="5" t="n"/>
      <c r="E20" s="5" t="n"/>
      <c r="F20" s="5" t="n"/>
    </row>
    <row r="21" ht="40" customHeight="1">
      <c r="B21" s="6" t="inlineStr">
        <is>
          <t>Operating (indirect)</t>
        </is>
      </c>
      <c r="C21" s="19" t="inlineStr">
        <is>
          <t>Start with NI. Add non-cash expenses (depreciation, amortisation). Add losses / deduct gains on asset sales. Adjust working-capital current assets &amp; current liabilities.</t>
        </is>
      </c>
      <c r="D21" s="20" t="n"/>
      <c r="E21" s="20" t="n"/>
      <c r="F21" s="20" t="n"/>
    </row>
    <row r="22" ht="40" customHeight="1">
      <c r="B22" s="6" t="inlineStr">
        <is>
          <t>Investing</t>
        </is>
      </c>
      <c r="C22" s="19" t="inlineStr">
        <is>
          <t>Cash paid or received for long-lived assets and investments: buy/sell PPE, land, patents, shares of other companies, lending money / collecting loans.</t>
        </is>
      </c>
      <c r="D22" s="20" t="n"/>
      <c r="E22" s="20" t="n"/>
      <c r="F22" s="20" t="n"/>
    </row>
    <row r="23" ht="40" customHeight="1">
      <c r="B23" s="6" t="inlineStr">
        <is>
          <t>Financing</t>
        </is>
      </c>
      <c r="C23" s="19" t="inlineStr">
        <is>
          <t>Cash with owners and long-term creditors: issue/retire shares, issue/retire bonds or notes, pay cash dividends.</t>
        </is>
      </c>
      <c r="D23" s="20" t="n"/>
      <c r="E23" s="20" t="n"/>
      <c r="F23" s="20" t="n"/>
    </row>
    <row r="24" ht="40" customHeight="1">
      <c r="B24" s="6" t="inlineStr">
        <is>
          <t>Significant non-cash</t>
        </is>
      </c>
      <c r="C24" s="19" t="inlineStr">
        <is>
          <t>Material investing/financing that never touches cash: asset-for-asset swap, bonds issued for land, conversion of bonds to shares. Reported in a separate schedule, not in the three cash sections.</t>
        </is>
      </c>
      <c r="D24" s="20" t="n"/>
      <c r="E24" s="20" t="n"/>
      <c r="F24" s="20" t="n"/>
    </row>
    <row r="26" ht="28" customHeight="1">
      <c r="B26" s="21" t="inlineStr">
        <is>
          <t>Quick trap: a loss on disposal is Operating (add-back), while the cash proceeds from the same disposal are Investing. Do not put the loss itself in Investing.</t>
        </is>
      </c>
    </row>
  </sheetData>
  <mergeCells count="9">
    <mergeCell ref="C22:F22"/>
    <mergeCell ref="C23:F23"/>
    <mergeCell ref="B4:E4"/>
    <mergeCell ref="B20:F20"/>
    <mergeCell ref="C21:F21"/>
    <mergeCell ref="B3:E3"/>
    <mergeCell ref="B2:E2"/>
    <mergeCell ref="C24:F24"/>
    <mergeCell ref="B26:F26"/>
  </mergeCells>
  <dataValidations count="1">
    <dataValidation sqref="C8:C18" showDropDown="0" showInputMessage="0" showErrorMessage="0" allowBlank="0" errorTitle="Invalid classification" error="Choose one of the four SCF classifications" promptTitle="SCF section" prompt="Select classification" type="list">
      <formula1>"Operating activity,Investing activity,Financing activity,Significant noncash investing and financing activity"</formula1>
    </dataValidation>
  </dataValidation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3" customWidth="1" min="5" max="5"/>
    <col width="42" customWidth="1" min="6" max="6"/>
    <col width="16" customWidth="1" min="7" max="7"/>
    <col width="16" customWidth="1" min="8" max="8"/>
    <col width="3" customWidth="1" min="9" max="9"/>
    <col width="22" customWidth="1" min="10" max="10"/>
    <col width="18" customWidth="1" min="11" max="11"/>
  </cols>
  <sheetData>
    <row r="2">
      <c r="B2" s="2" t="inlineStr">
        <is>
          <t>E17.12 (LO 4)  ·  Compute cash payments — direct method</t>
        </is>
      </c>
    </row>
    <row r="3">
      <c r="B3" s="1" t="inlineStr">
        <is>
          <t>McDonald's Corporation  ·  Year 2027  ·  amounts in $ millions</t>
        </is>
      </c>
    </row>
    <row r="5" ht="22" customHeight="1">
      <c r="B5" s="4" t="inlineStr">
        <is>
          <t>Given data (from the tutorial PDF)</t>
        </is>
      </c>
      <c r="C5" s="5" t="n"/>
      <c r="D5" s="5" t="n"/>
      <c r="F5" s="4" t="inlineStr">
        <is>
          <t>T-account reconstruction (same numbers)</t>
        </is>
      </c>
      <c r="G5" s="5" t="n"/>
      <c r="H5" s="5" t="n"/>
    </row>
    <row r="6">
      <c r="B6" s="22" t="inlineStr">
        <is>
          <t>Item</t>
        </is>
      </c>
      <c r="C6" s="22" t="inlineStr">
        <is>
          <t>$ millions</t>
        </is>
      </c>
      <c r="F6" s="22" t="inlineStr">
        <is>
          <t>Inventory</t>
        </is>
      </c>
      <c r="G6" s="23" t="n"/>
      <c r="H6" s="23" t="n"/>
    </row>
    <row r="7">
      <c r="B7" s="24" t="inlineStr">
        <is>
          <t>Income statement — Cost of goods sold</t>
        </is>
      </c>
      <c r="C7" s="25" t="n">
        <v>5178</v>
      </c>
      <c r="F7" s="8" t="inlineStr">
        <is>
          <t>Purchases (plug)</t>
        </is>
      </c>
      <c r="G7" s="26">
        <f>C20</f>
        <v/>
      </c>
      <c r="H7" s="8" t="inlineStr">
        <is>
          <t>COGS</t>
        </is>
      </c>
    </row>
    <row r="8">
      <c r="B8" s="27" t="inlineStr">
        <is>
          <t>Income statement — Operating expenses (incl. depreciation)</t>
        </is>
      </c>
      <c r="C8" s="25" t="n">
        <v>10725.7</v>
      </c>
      <c r="F8" s="8" t="inlineStr"/>
      <c r="G8" s="8" t="inlineStr"/>
      <c r="H8" s="26">
        <f>C7</f>
        <v/>
      </c>
    </row>
    <row r="9">
      <c r="B9" s="24" t="inlineStr">
        <is>
          <t>Included depreciation expense</t>
        </is>
      </c>
      <c r="C9" s="25" t="n">
        <v>1216.2</v>
      </c>
      <c r="F9" s="8" t="inlineStr">
        <is>
          <t>Decrease</t>
        </is>
      </c>
      <c r="G9" s="26">
        <f>C10</f>
        <v/>
      </c>
      <c r="H9" s="8" t="n"/>
    </row>
    <row r="10">
      <c r="B10" s="27" t="inlineStr">
        <is>
          <t>Inventory decreased</t>
        </is>
      </c>
      <c r="C10" s="25" t="n">
        <v>5.3</v>
      </c>
    </row>
    <row r="11">
      <c r="B11" s="24" t="inlineStr">
        <is>
          <t>Prepaid expenses increased</t>
        </is>
      </c>
      <c r="C11" s="25" t="n">
        <v>42.2</v>
      </c>
      <c r="F11" s="22" t="inlineStr">
        <is>
          <t>Accounts Payable (suppliers)</t>
        </is>
      </c>
      <c r="G11" s="23" t="n"/>
      <c r="H11" s="23" t="n"/>
    </row>
    <row r="12">
      <c r="B12" s="27" t="inlineStr">
        <is>
          <t>Accounts payable (inventory suppliers) increased</t>
        </is>
      </c>
      <c r="C12" s="25" t="n">
        <v>15.6</v>
      </c>
      <c r="F12" s="8" t="inlineStr">
        <is>
          <t>Cash paid (plug)</t>
        </is>
      </c>
      <c r="G12" s="26">
        <f>C22</f>
        <v/>
      </c>
      <c r="H12" s="8" t="inlineStr">
        <is>
          <t>Purchases</t>
        </is>
      </c>
    </row>
    <row r="13">
      <c r="B13" s="24" t="inlineStr">
        <is>
          <t>Accrued expenses payable increased</t>
        </is>
      </c>
      <c r="C13" s="25" t="n">
        <v>199.8</v>
      </c>
      <c r="F13" s="8" t="inlineStr"/>
      <c r="G13" s="8" t="n"/>
      <c r="H13" s="26">
        <f>C20</f>
        <v/>
      </c>
    </row>
    <row r="14">
      <c r="F14" s="8" t="inlineStr"/>
      <c r="G14" s="8" t="n"/>
      <c r="H14" s="8" t="inlineStr">
        <is>
          <t>AP increase</t>
        </is>
      </c>
    </row>
    <row r="15">
      <c r="F15" s="8" t="n"/>
      <c r="G15" s="8" t="inlineStr"/>
      <c r="H15" s="26">
        <f>C12</f>
        <v/>
      </c>
    </row>
    <row r="16" ht="22" customHeight="1">
      <c r="B16" s="4" t="inlineStr">
        <is>
          <t>(a)  Cash payments to suppliers</t>
        </is>
      </c>
      <c r="C16" s="5" t="n"/>
      <c r="D16" s="5" t="n"/>
    </row>
    <row r="17">
      <c r="B17" s="22" t="inlineStr">
        <is>
          <t>Line</t>
        </is>
      </c>
      <c r="C17" s="22" t="inlineStr">
        <is>
          <t>Amount</t>
        </is>
      </c>
      <c r="D17" s="22" t="inlineStr">
        <is>
          <t>Direction</t>
        </is>
      </c>
      <c r="F17" s="28" t="inlineStr">
        <is>
          <t>Memory aid for current assets / liabilities
Asset ↑  → subtract (more cash tied up)
Asset ↓  → add (cash released)
Liability ↑  → add to NI / subtract from cash paid (we deferred payment)
Liability ↓  → subtract from NI / add to cash paid (we paid extra)</t>
        </is>
      </c>
      <c r="G17" s="29" t="n"/>
      <c r="H17" s="29" t="n"/>
    </row>
    <row r="18">
      <c r="B18" s="27" t="inlineStr">
        <is>
          <t>Cost of goods sold</t>
        </is>
      </c>
      <c r="C18" s="30">
        <f>C7</f>
        <v/>
      </c>
      <c r="D18" s="31" t="inlineStr">
        <is>
          <t>start</t>
        </is>
      </c>
      <c r="F18" s="29" t="n"/>
      <c r="G18" s="29" t="n"/>
      <c r="H18" s="29" t="n"/>
    </row>
    <row r="19">
      <c r="B19" s="27" t="inlineStr">
        <is>
          <t>Less: Decrease in inventory</t>
        </is>
      </c>
      <c r="C19" s="30">
        <f>C10</f>
        <v/>
      </c>
      <c r="D19" s="31" t="inlineStr">
        <is>
          <t>inventory ↓ means purchases &lt; COGS</t>
        </is>
      </c>
      <c r="F19" s="29" t="n"/>
      <c r="G19" s="29" t="n"/>
      <c r="H19" s="29" t="n"/>
    </row>
    <row r="20">
      <c r="B20" s="32" t="inlineStr">
        <is>
          <t>Purchases</t>
        </is>
      </c>
      <c r="C20" s="33">
        <f>C18-C19</f>
        <v/>
      </c>
      <c r="D20" s="31" t="inlineStr">
        <is>
          <t>goods bought this year</t>
        </is>
      </c>
      <c r="F20" s="29" t="n"/>
      <c r="G20" s="29" t="n"/>
      <c r="H20" s="29" t="n"/>
    </row>
    <row r="21">
      <c r="B21" s="27" t="inlineStr">
        <is>
          <t>Less: Increase in accounts payable</t>
        </is>
      </c>
      <c r="C21" s="30">
        <f>C12</f>
        <v/>
      </c>
      <c r="D21" s="31" t="inlineStr">
        <is>
          <t>AP ↑ means we have not yet paid all purchases</t>
        </is>
      </c>
    </row>
    <row r="22">
      <c r="B22" s="34" t="inlineStr">
        <is>
          <t>Cash payments to suppliers</t>
        </is>
      </c>
      <c r="C22" s="35">
        <f>C20-C21</f>
        <v/>
      </c>
      <c r="D22" s="31" t="inlineStr">
        <is>
          <t>ANSWER (a)</t>
        </is>
      </c>
    </row>
    <row r="24">
      <c r="B24" s="36" t="inlineStr">
        <is>
          <t>Formula:  Cash paid to suppliers  =  COGS  −  Decrease in inventory  −  Increase in AP</t>
        </is>
      </c>
    </row>
    <row r="25">
      <c r="B25" s="9" t="inlineStr">
        <is>
          <t>Check:  5,178.0 − 5.3 − 15.6  =  5,157.1     If inventory had increased we would ADD it; if AP had decreased we would ADD it.</t>
        </is>
      </c>
    </row>
    <row r="27" ht="22" customHeight="1">
      <c r="B27" s="4" t="inlineStr">
        <is>
          <t>(b)  Cash payments for operating expenses</t>
        </is>
      </c>
      <c r="C27" s="5" t="n"/>
      <c r="D27" s="5" t="n"/>
    </row>
    <row r="28">
      <c r="B28" s="22" t="inlineStr">
        <is>
          <t>Line</t>
        </is>
      </c>
      <c r="C28" s="22" t="inlineStr">
        <is>
          <t>Amount</t>
        </is>
      </c>
      <c r="D28" s="22" t="inlineStr">
        <is>
          <t>Direction</t>
        </is>
      </c>
    </row>
    <row r="29">
      <c r="B29" s="27" t="inlineStr">
        <is>
          <t>Operating expenses (as reported)</t>
        </is>
      </c>
      <c r="C29" s="30">
        <f>C8</f>
        <v/>
      </c>
      <c r="D29" s="31" t="inlineStr">
        <is>
          <t>includes depreciation</t>
        </is>
      </c>
    </row>
    <row r="30">
      <c r="B30" s="27" t="inlineStr">
        <is>
          <t>Less: Depreciation expense</t>
        </is>
      </c>
      <c r="C30" s="30">
        <f>C9</f>
        <v/>
      </c>
      <c r="D30" s="31" t="inlineStr">
        <is>
          <t>non-cash — never paid in cash</t>
        </is>
      </c>
    </row>
    <row r="31">
      <c r="B31" s="32" t="inlineStr">
        <is>
          <t>Cash-basis operating expenses before WC</t>
        </is>
      </c>
      <c r="C31" s="33">
        <f>C29-C30</f>
        <v/>
      </c>
      <c r="D31" s="31" t="inlineStr">
        <is>
          <t>accrual opex stripped of depreciation</t>
        </is>
      </c>
    </row>
    <row r="32">
      <c r="B32" s="27" t="inlineStr">
        <is>
          <t>Add: Increase in prepaid expenses</t>
        </is>
      </c>
      <c r="C32" s="30">
        <f>C11</f>
        <v/>
      </c>
      <c r="D32" s="31" t="inlineStr">
        <is>
          <t>prepaid ↑ means extra cash paid in advance</t>
        </is>
      </c>
    </row>
    <row r="33">
      <c r="B33" s="32" t="inlineStr">
        <is>
          <t>Subtotal</t>
        </is>
      </c>
      <c r="C33" s="33">
        <f>C31+C32</f>
        <v/>
      </c>
      <c r="D33" s="31" t="inlineStr"/>
    </row>
    <row r="34">
      <c r="B34" s="27" t="inlineStr">
        <is>
          <t>Less: Increase in accrued expenses payable</t>
        </is>
      </c>
      <c r="C34" s="30">
        <f>C13</f>
        <v/>
      </c>
      <c r="D34" s="31" t="inlineStr">
        <is>
          <t>accrued ↑ means some expenses not yet paid</t>
        </is>
      </c>
    </row>
    <row r="35">
      <c r="B35" s="34" t="inlineStr">
        <is>
          <t>Cash payments for operating expenses</t>
        </is>
      </c>
      <c r="C35" s="35">
        <f>C33-C34</f>
        <v/>
      </c>
      <c r="D35" s="31" t="inlineStr">
        <is>
          <t>ANSWER (b)</t>
        </is>
      </c>
    </row>
    <row r="37">
      <c r="B37" s="36" t="inlineStr">
        <is>
          <t>Formula:  Cash paid for opex  =  Operating expenses  −  Depreciation  +  Increase in prepaids  −  Increase in accrued expenses</t>
        </is>
      </c>
    </row>
    <row r="38">
      <c r="B38" s="9" t="inlineStr">
        <is>
          <t>Check:  10,725.7 − 1,216.2 + 42.2 − 199.8  =  9,351.9</t>
        </is>
      </c>
    </row>
    <row r="40" ht="22" customHeight="1">
      <c r="B40" s="4" t="inlineStr">
        <is>
          <t>Final answers</t>
        </is>
      </c>
      <c r="C40" s="5" t="n"/>
      <c r="D40" s="5" t="n"/>
    </row>
    <row r="41" ht="22" customHeight="1">
      <c r="B41" s="37" t="inlineStr">
        <is>
          <t>(a) Cash payments to suppliers</t>
        </is>
      </c>
      <c r="C41" s="38">
        <f>C22</f>
        <v/>
      </c>
      <c r="D41" s="8" t="inlineStr">
        <is>
          <t>million</t>
        </is>
      </c>
    </row>
    <row r="42" ht="22" customHeight="1">
      <c r="B42" s="37" t="inlineStr">
        <is>
          <t>(b) Cash payments for operating expenses</t>
        </is>
      </c>
      <c r="C42" s="38">
        <f>C35</f>
        <v/>
      </c>
      <c r="D42" s="8" t="inlineStr">
        <is>
          <t>million</t>
        </is>
      </c>
    </row>
  </sheetData>
  <mergeCells count="14">
    <mergeCell ref="F11:H11"/>
    <mergeCell ref="B5:D5"/>
    <mergeCell ref="B37:D37"/>
    <mergeCell ref="F5:H5"/>
    <mergeCell ref="F6:H6"/>
    <mergeCell ref="B40:D40"/>
    <mergeCell ref="B27:D27"/>
    <mergeCell ref="B2:H2"/>
    <mergeCell ref="B38:D38"/>
    <mergeCell ref="F17:H20"/>
    <mergeCell ref="B3:H3"/>
    <mergeCell ref="B25:D25"/>
    <mergeCell ref="B24:D24"/>
    <mergeCell ref="B16:D16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2026-08-18T01:50:54Z</dcterms:created>
  <dcterms:modified xsi:type="dcterms:W3CDTF">2026-08-18T01:50:54Z</dcterms:modified>
</cp:coreProperties>
</file>