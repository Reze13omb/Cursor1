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8.9 Rat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—&quot;"/>
    <numFmt numFmtId="165" formatCode="0.0&quot; : 1&quot;"/>
    <numFmt numFmtId="166" formatCode="0.0&quot; times&quot;"/>
    <numFmt numFmtId="167" formatCode="0.0&quot; days&quot;"/>
    <numFmt numFmtId="168" formatCode="&quot;$&quot;#,##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2E75B6"/>
      <sz val="12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F4E79"/>
      <sz val="11"/>
    </font>
    <font>
      <name val="Calibri"/>
      <b val="1"/>
      <sz val="11"/>
    </font>
    <font>
      <name val="Calibri"/>
      <i val="1"/>
      <sz val="10"/>
    </font>
    <font>
      <name val="Calibri"/>
      <b val="1"/>
      <color rgb="00375623"/>
      <sz val="12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1F4E79"/>
      </top>
      <bottom style="double">
        <color rgb="001F4E79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0" fillId="2" borderId="3" pivotButton="0" quotePrefix="0" xfId="0"/>
    <xf numFmtId="0" fontId="5" fillId="3" borderId="1" pivotButton="0" quotePrefix="0" xfId="0"/>
    <xf numFmtId="164" fontId="0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65" fontId="9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166" fontId="9" fillId="8" borderId="3" applyAlignment="1" pivotButton="0" quotePrefix="0" xfId="0">
      <alignment horizontal="center" vertical="center" wrapText="1"/>
    </xf>
    <xf numFmtId="167" fontId="9" fillId="8" borderId="3" applyAlignment="1" pivotButton="0" quotePrefix="0" xfId="0">
      <alignment horizontal="center" vertical="center" wrapText="1"/>
    </xf>
    <xf numFmtId="0" fontId="6" fillId="5" borderId="1" pivotButton="0" quotePrefix="0" xfId="0"/>
    <xf numFmtId="164" fontId="7" fillId="5" borderId="2" applyAlignment="1" pivotButton="0" quotePrefix="0" xfId="0">
      <alignment horizontal="right" vertical="center"/>
    </xf>
    <xf numFmtId="168" fontId="9" fillId="8" borderId="3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0" fontId="0" fillId="9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7" borderId="0" pivotButton="0" quotePrefix="0" xfId="0"/>
    <xf numFmtId="164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3" customWidth="1" min="5" max="5"/>
    <col width="42" customWidth="1" min="6" max="6"/>
    <col width="18" customWidth="1" min="7" max="7"/>
    <col width="16" customWidth="1" min="8" max="8"/>
    <col width="28" customWidth="1" min="9" max="9"/>
  </cols>
  <sheetData>
    <row r="2">
      <c r="B2" s="1" t="inlineStr">
        <is>
          <t>LENDELL COMPANY</t>
        </is>
      </c>
    </row>
    <row r="3">
      <c r="B3" s="2" t="inlineStr">
        <is>
          <t>Comparative Balance Sheets  ·  December 31</t>
        </is>
      </c>
    </row>
    <row r="4">
      <c r="B4" s="3" t="inlineStr">
        <is>
          <t>E18.9 (LO 3)  ·  Compute selected ratios at 31 December 2027</t>
        </is>
      </c>
    </row>
    <row r="6" ht="22" customHeight="1">
      <c r="B6" s="4" t="n"/>
      <c r="C6" s="4" t="n">
        <v>2027</v>
      </c>
      <c r="D6" s="4" t="n">
        <v>2026</v>
      </c>
      <c r="F6" s="5" t="inlineStr">
        <is>
          <t>Required ratios at 31 December 2027</t>
        </is>
      </c>
      <c r="G6" s="6" t="n"/>
      <c r="H6" s="6" t="n"/>
      <c r="I6" s="6" t="n"/>
    </row>
    <row r="7">
      <c r="B7" s="7" t="inlineStr">
        <is>
          <t>Cash</t>
        </is>
      </c>
      <c r="C7" s="8" t="n">
        <v>15000</v>
      </c>
      <c r="D7" s="8" t="n">
        <v>30000</v>
      </c>
      <c r="F7" s="9" t="inlineStr">
        <is>
          <t>Ratio</t>
        </is>
      </c>
      <c r="G7" s="9" t="inlineStr">
        <is>
          <t>Formula</t>
        </is>
      </c>
      <c r="H7" s="9" t="inlineStr">
        <is>
          <t>Answer</t>
        </is>
      </c>
      <c r="I7" s="9" t="inlineStr">
        <is>
          <t>Workings</t>
        </is>
      </c>
    </row>
    <row r="8" ht="28" customHeight="1">
      <c r="B8" s="7" t="inlineStr">
        <is>
          <t>Accounts receivable (net)</t>
        </is>
      </c>
      <c r="C8" s="8" t="n">
        <v>70000</v>
      </c>
      <c r="D8" s="8" t="n">
        <v>60000</v>
      </c>
      <c r="F8" s="10" t="inlineStr">
        <is>
          <t>a. Current ratio</t>
        </is>
      </c>
      <c r="G8" s="11" t="inlineStr">
        <is>
          <t>Current assets ÷ Current liabilities</t>
        </is>
      </c>
      <c r="H8" s="12">
        <f>C31/C32</f>
        <v/>
      </c>
      <c r="I8" s="13">
        <f>"$"&amp;TEXT(C31,"#,##0")&amp;" / $"&amp;TEXT(C32,"#,##0")&amp;" = "&amp;TEXT(H8,"0.0")&amp;" : 1"</f>
        <v/>
      </c>
    </row>
    <row r="9" ht="28" customHeight="1">
      <c r="B9" s="7" t="inlineStr">
        <is>
          <t>Inventory</t>
        </is>
      </c>
      <c r="C9" s="8" t="n">
        <v>60000</v>
      </c>
      <c r="D9" s="8" t="n">
        <v>50000</v>
      </c>
      <c r="F9" s="10" t="inlineStr">
        <is>
          <t>b. Accounts receivable turnover</t>
        </is>
      </c>
      <c r="G9" s="11" t="inlineStr">
        <is>
          <t>Net credit sales ÷ Average AR</t>
        </is>
      </c>
      <c r="H9" s="14">
        <f>C28/C29</f>
        <v/>
      </c>
      <c r="I9" s="13">
        <f>"$"&amp;TEXT(C28,"#,##0")&amp;" / $"&amp;TEXT(C29,"#,##0")&amp;" = "&amp;TEXT(H9,"0.0")&amp;" times"</f>
        <v/>
      </c>
    </row>
    <row r="10" ht="28" customHeight="1">
      <c r="B10" s="7" t="inlineStr">
        <is>
          <t>Plant assets (net)</t>
        </is>
      </c>
      <c r="C10" s="8" t="n">
        <v>200000</v>
      </c>
      <c r="D10" s="8" t="n">
        <v>180000</v>
      </c>
      <c r="F10" s="10" t="inlineStr">
        <is>
          <t>c. Average collection period</t>
        </is>
      </c>
      <c r="G10" s="11" t="inlineStr">
        <is>
          <t>365 ÷ AR turnover (using 5.4)</t>
        </is>
      </c>
      <c r="H10" s="15">
        <f>365/ROUND(H9,1)</f>
        <v/>
      </c>
      <c r="I10" s="13">
        <f>"365 / "&amp;TEXT(ROUND(H9,1),"0.0")&amp;" = "&amp;TEXT(H10,"0.0")&amp;" days"</f>
        <v/>
      </c>
    </row>
    <row r="11" ht="28" customHeight="1">
      <c r="B11" s="16" t="inlineStr">
        <is>
          <t>Total assets</t>
        </is>
      </c>
      <c r="C11" s="17">
        <f>C7+C8+C9+C10</f>
        <v/>
      </c>
      <c r="D11" s="17">
        <f>D7+D8+D9+D10</f>
        <v/>
      </c>
      <c r="F11" s="10" t="inlineStr">
        <is>
          <t>d. Inventory turnover</t>
        </is>
      </c>
      <c r="G11" s="11" t="inlineStr">
        <is>
          <t>COGS ÷ Average inventory</t>
        </is>
      </c>
      <c r="H11" s="14">
        <f>C23/C30</f>
        <v/>
      </c>
      <c r="I11" s="13">
        <f>"$"&amp;TEXT(C23,"#,##0")&amp;" / $"&amp;TEXT(C30,"#,##0")&amp;" = "&amp;TEXT(H11,"0.0")&amp;" times"</f>
        <v/>
      </c>
    </row>
    <row r="12" ht="28" customHeight="1">
      <c r="B12" s="7" t="inlineStr">
        <is>
          <t>Accounts payable (current)</t>
        </is>
      </c>
      <c r="C12" s="8" t="n">
        <v>50000</v>
      </c>
      <c r="D12" s="8" t="n">
        <v>60000</v>
      </c>
      <c r="F12" s="10" t="inlineStr">
        <is>
          <t>e. Days in inventory</t>
        </is>
      </c>
      <c r="G12" s="11" t="inlineStr">
        <is>
          <t>365 ÷ Inventory turnover (using 3.6)</t>
        </is>
      </c>
      <c r="H12" s="15">
        <f>365/ROUND(H11,1)</f>
        <v/>
      </c>
      <c r="I12" s="13">
        <f>"365 / "&amp;TEXT(ROUND(H11,1),"0.0")&amp;" = "&amp;TEXT(H12,"0.0")&amp;" days"</f>
        <v/>
      </c>
    </row>
    <row r="13" ht="28" customHeight="1">
      <c r="B13" s="7" t="inlineStr">
        <is>
          <t>Bonds payable 15% (due 2040)</t>
        </is>
      </c>
      <c r="C13" s="8" t="n">
        <v>100000</v>
      </c>
      <c r="D13" s="8" t="n">
        <v>100000</v>
      </c>
      <c r="F13" s="10" t="inlineStr">
        <is>
          <t>f. Free cash flow</t>
        </is>
      </c>
      <c r="G13" s="11" t="inlineStr">
        <is>
          <t>CFO − Capex − Cash dividends</t>
        </is>
      </c>
      <c r="H13" s="18">
        <f>C24-C25-C26</f>
        <v/>
      </c>
      <c r="I13" s="13">
        <f>"$"&amp;TEXT(C24,"#,##0")&amp;" − $"&amp;TEXT(C25,"#,##0")&amp;" − $"&amp;TEXT(C26,"#,##0")&amp;" = $"&amp;TEXT(H13,"#,##0")</f>
        <v/>
      </c>
    </row>
    <row r="14">
      <c r="B14" s="7" t="inlineStr">
        <is>
          <t>Common stock, $10 par</t>
        </is>
      </c>
      <c r="C14" s="8" t="n">
        <v>140000</v>
      </c>
      <c r="D14" s="8" t="n">
        <v>120000</v>
      </c>
    </row>
    <row r="15">
      <c r="B15" s="7" t="inlineStr">
        <is>
          <t>Retained earnings</t>
        </is>
      </c>
      <c r="C15" s="8" t="n">
        <v>55000</v>
      </c>
      <c r="D15" s="8" t="n">
        <v>40000</v>
      </c>
      <c r="F15" s="19" t="inlineStr">
        <is>
          <t>Notes for the exam / tutorial:
• Bonds payable are due in 2040, so they are NON-CURRENT. Current liabilities = Accounts payable only.
• Net credit sales = Sales on account − sales returns and allowances = $375,000 − $25,000 = $350,000.
• Turnover ratios use AVERAGES of beginning and ending balances.
• Collection period and days in inventory use the turnover already rounded to 1 decimal (Wiley convention): 365/5.4 = 67.6 days; 365/3.6 = 101.4 days.
• Free cash flow is not a ratio; it is a dollar amount of cash left after maintaining operating capacity and paying dividends.</t>
        </is>
      </c>
      <c r="G15" s="20" t="n"/>
      <c r="H15" s="20" t="n"/>
      <c r="I15" s="20" t="n"/>
    </row>
    <row r="16">
      <c r="B16" s="16" t="inlineStr">
        <is>
          <t>Total liabilities &amp; equity</t>
        </is>
      </c>
      <c r="C16" s="17">
        <f>C12+C13+C14+C15</f>
        <v/>
      </c>
      <c r="D16" s="17">
        <f>D12+D13+D14+D15</f>
        <v/>
      </c>
      <c r="F16" s="20" t="n"/>
      <c r="G16" s="20" t="n"/>
      <c r="H16" s="20" t="n"/>
      <c r="I16" s="20" t="n"/>
    </row>
    <row r="17">
      <c r="F17" s="20" t="n"/>
      <c r="G17" s="20" t="n"/>
      <c r="H17" s="20" t="n"/>
      <c r="I17" s="20" t="n"/>
    </row>
    <row r="18" ht="22" customHeight="1">
      <c r="B18" s="5" t="inlineStr">
        <is>
          <t>Additional information for 2027</t>
        </is>
      </c>
      <c r="C18" s="6" t="n"/>
      <c r="D18" s="6" t="n"/>
      <c r="F18" s="20" t="n"/>
      <c r="G18" s="20" t="n"/>
      <c r="H18" s="20" t="n"/>
      <c r="I18" s="20" t="n"/>
    </row>
    <row r="19">
      <c r="B19" s="9" t="inlineStr">
        <is>
          <t>Item</t>
        </is>
      </c>
      <c r="C19" s="9" t="inlineStr">
        <is>
          <t>Amount</t>
        </is>
      </c>
    </row>
    <row r="20" ht="22" customHeight="1">
      <c r="B20" s="21" t="inlineStr">
        <is>
          <t>Net income</t>
        </is>
      </c>
      <c r="C20" s="8" t="n">
        <v>25000</v>
      </c>
      <c r="F20" s="5" t="inlineStr">
        <is>
          <t>Interpretation (one line each)</t>
        </is>
      </c>
      <c r="G20" s="6" t="n"/>
      <c r="H20" s="6" t="n"/>
      <c r="I20" s="6" t="n"/>
    </row>
    <row r="21" ht="32" customHeight="1">
      <c r="B21" s="21" t="inlineStr">
        <is>
          <t>Sales on account</t>
        </is>
      </c>
      <c r="C21" s="8" t="n">
        <v>375000</v>
      </c>
      <c r="F21" s="22" t="inlineStr">
        <is>
          <t>Current ratio 2.9 : 1 — $2.90 of current assets for every $1 of current liabilities; short-term liquidity looks comfortable.</t>
        </is>
      </c>
      <c r="G21" s="23" t="n"/>
      <c r="H21" s="23" t="n"/>
      <c r="I21" s="23" t="n"/>
    </row>
    <row r="22" ht="32" customHeight="1">
      <c r="B22" s="21" t="inlineStr">
        <is>
          <t>Sales returns and allowances</t>
        </is>
      </c>
      <c r="C22" s="8" t="n">
        <v>25000</v>
      </c>
      <c r="F22" s="22" t="inlineStr">
        <is>
          <t>AR turns 5.4 times — receivables are collected about 5.4 times a year (~every 68 days). Compare with credit terms.</t>
        </is>
      </c>
      <c r="G22" s="23" t="n"/>
      <c r="H22" s="23" t="n"/>
      <c r="I22" s="23" t="n"/>
    </row>
    <row r="23" ht="32" customHeight="1">
      <c r="B23" s="21" t="inlineStr">
        <is>
          <t>Cost of goods sold</t>
        </is>
      </c>
      <c r="C23" s="8" t="n">
        <v>198000</v>
      </c>
      <c r="F23" s="22" t="inlineStr">
        <is>
          <t>Inventory turns 3.6 times — stock sits about 101 days. Slow if the firm is a retailer of perishable/fast goods; maybe normal for specialised equipment.</t>
        </is>
      </c>
      <c r="G23" s="23" t="n"/>
      <c r="H23" s="23" t="n"/>
      <c r="I23" s="23" t="n"/>
    </row>
    <row r="24" ht="32" customHeight="1">
      <c r="B24" s="21" t="inlineStr">
        <is>
          <t>Net cash provided by operating activities</t>
        </is>
      </c>
      <c r="C24" s="8" t="n">
        <v>48000</v>
      </c>
      <c r="F24" s="22" t="inlineStr">
        <is>
          <t>FCF $13,000 — operations generated $48,000; after $25,000 capex and $10,000 dividends, $13,000 remains to repay debt or hold as cash.</t>
        </is>
      </c>
      <c r="G24" s="23" t="n"/>
      <c r="H24" s="23" t="n"/>
      <c r="I24" s="23" t="n"/>
    </row>
    <row r="25">
      <c r="B25" s="21" t="inlineStr">
        <is>
          <t>Capital expenditures</t>
        </is>
      </c>
      <c r="C25" s="8" t="n">
        <v>25000</v>
      </c>
    </row>
    <row r="26">
      <c r="B26" s="21" t="inlineStr">
        <is>
          <t>Cash dividends paid</t>
        </is>
      </c>
      <c r="C26" s="8" t="n">
        <v>10000</v>
      </c>
    </row>
    <row r="28">
      <c r="B28" s="24" t="inlineStr">
        <is>
          <t>Net credit sales (Sales − returns)</t>
        </is>
      </c>
      <c r="C28" s="25">
        <f>C21-C22</f>
        <v/>
      </c>
    </row>
    <row r="29">
      <c r="B29" s="24" t="inlineStr">
        <is>
          <t>Average accounts receivable</t>
        </is>
      </c>
      <c r="C29" s="25">
        <f>(C8+D8)/2</f>
        <v/>
      </c>
    </row>
    <row r="30">
      <c r="B30" s="24" t="inlineStr">
        <is>
          <t>Average inventory</t>
        </is>
      </c>
      <c r="C30" s="25">
        <f>(C9+D9)/2</f>
        <v/>
      </c>
    </row>
    <row r="31">
      <c r="B31" s="24" t="inlineStr">
        <is>
          <t>Current assets (31 Dec 2027)</t>
        </is>
      </c>
      <c r="C31" s="25">
        <f>C7+C8+C9</f>
        <v/>
      </c>
    </row>
    <row r="32">
      <c r="B32" s="24" t="inlineStr">
        <is>
          <t>Current liabilities (AP only; bonds due 2040)</t>
        </is>
      </c>
      <c r="C32" s="25">
        <f>C12</f>
        <v/>
      </c>
    </row>
  </sheetData>
  <mergeCells count="11">
    <mergeCell ref="F23:I23"/>
    <mergeCell ref="B3:D3"/>
    <mergeCell ref="B4:D4"/>
    <mergeCell ref="F24:I24"/>
    <mergeCell ref="B18:D18"/>
    <mergeCell ref="F21:I21"/>
    <mergeCell ref="F20:I20"/>
    <mergeCell ref="F15:I18"/>
    <mergeCell ref="B2:D2"/>
    <mergeCell ref="F6:I6"/>
    <mergeCell ref="F22:I22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2026-08-18T01:50:54Z</dcterms:created>
  <dcterms:modified xsi:type="dcterms:W3CDTF">2026-08-18T01:50:54Z</dcterms:modified>
</cp:coreProperties>
</file>