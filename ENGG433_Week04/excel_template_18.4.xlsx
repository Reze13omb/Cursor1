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18.4 Vertical Analysis" sheetId="1" state="visible" r:id="rId1"/>
    <sheet name="Given data" sheetId="2" state="visible" r:id="rId2"/>
  </sheets>
  <definedNames>
    <definedName name="_xlnm.Print_Area" localSheetId="0">'E18.4 Vertical Analysis'!$A$1:$F$36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&quot;—&quot;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2E75B6"/>
      <sz val="13"/>
    </font>
    <font>
      <name val="Calibri"/>
      <i val="1"/>
      <color rgb="002E75B6"/>
      <sz val="12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F4E79"/>
      <sz val="11"/>
    </font>
    <font>
      <name val="Calibri"/>
      <color rgb="00000000"/>
      <sz val="11"/>
    </font>
    <font>
      <name val="Calibri"/>
      <b val="1"/>
      <color rgb="001F4E79"/>
      <sz val="18"/>
    </font>
    <font>
      <name val="Calibri"/>
      <i val="1"/>
      <color rgb="002E75B6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AF8"/>
      </patternFill>
    </fill>
    <fill>
      <patternFill patternType="solid">
        <fgColor rgb="00DEEBF7"/>
      </patternFill>
    </fill>
    <fill>
      <patternFill patternType="solid">
        <fgColor rgb="00C6EFCE"/>
      </patternFill>
    </fill>
  </fills>
  <borders count="5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1F4E79"/>
      </top>
      <bottom style="medium">
        <color rgb="001F4E79"/>
      </bottom>
    </border>
    <border>
      <left style="thin">
        <color rgb="00BDD7EE"/>
      </left>
      <right style="thin">
        <color rgb="00BDD7EE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164" fontId="0" fillId="5" borderId="2" applyAlignment="1" pivotButton="0" quotePrefix="0" xfId="0">
      <alignment horizontal="right" vertical="center"/>
    </xf>
    <xf numFmtId="165" fontId="0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 wrapText="1"/>
    </xf>
    <xf numFmtId="164" fontId="7" fillId="7" borderId="3" applyAlignment="1" pivotButton="0" quotePrefix="0" xfId="0">
      <alignment horizontal="right" vertical="center"/>
    </xf>
    <xf numFmtId="165" fontId="7" fillId="6" borderId="3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 indent="1"/>
    </xf>
    <xf numFmtId="0" fontId="7" fillId="8" borderId="2" applyAlignment="1" pivotButton="0" quotePrefix="0" xfId="0">
      <alignment horizontal="left" vertical="center" wrapText="1"/>
    </xf>
    <xf numFmtId="164" fontId="7" fillId="8" borderId="4" applyAlignment="1" pivotButton="0" quotePrefix="0" xfId="0">
      <alignment horizontal="right" vertical="center"/>
    </xf>
    <xf numFmtId="165" fontId="7" fillId="8" borderId="4" applyAlignment="1" pivotButton="0" quotePrefix="0" xfId="0">
      <alignment horizontal="center" vertical="center"/>
    </xf>
    <xf numFmtId="0" fontId="4" fillId="0" borderId="0" pivotButton="0" quotePrefix="0" xfId="0"/>
    <xf numFmtId="0" fontId="8" fillId="6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9" fillId="0" borderId="2" pivotButton="0" quotePrefix="0" xfId="0"/>
    <xf numFmtId="165" fontId="0" fillId="0" borderId="2" applyAlignment="1" pivotButton="0" quotePrefix="0" xfId="0">
      <alignment horizontal="center" vertical="center"/>
    </xf>
    <xf numFmtId="0" fontId="10" fillId="0" borderId="0" pivotButton="0" quotePrefix="0" xfId="0"/>
    <xf numFmtId="0" fontId="5" fillId="2" borderId="2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Vertical analysis: % of net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'E18.4 Vertical Analysis'!C29</f>
            </strRef>
          </tx>
          <spPr>
            <a:ln>
              <a:prstDash val="solid"/>
            </a:ln>
          </spPr>
          <cat>
            <numRef>
              <f>'E18.4 Vertical Analysis'!$B$30:$B$35</f>
            </numRef>
          </cat>
          <val>
            <numRef>
              <f>'E18.4 Vertical Analysis'!$C$30:$C$35</f>
            </numRef>
          </val>
        </ser>
        <ser>
          <idx val="1"/>
          <order val="1"/>
          <tx>
            <strRef>
              <f>'E18.4 Vertical Analysis'!D29</f>
            </strRef>
          </tx>
          <spPr>
            <a:ln>
              <a:prstDash val="solid"/>
            </a:ln>
          </spPr>
          <cat>
            <numRef>
              <f>'E18.4 Vertical Analysis'!$B$30:$B$35</f>
            </numRef>
          </cat>
          <val>
            <numRef>
              <f>'E18.4 Vertical Analysis'!$D$30:$D$35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of net sales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37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6" customWidth="1" min="3" max="3"/>
    <col width="14" customWidth="1" min="4" max="4"/>
    <col width="16" customWidth="1" min="5" max="5"/>
    <col width="14" customWidth="1" min="6" max="6"/>
    <col width="28" customWidth="1" min="7" max="7"/>
    <col width="16" customWidth="1" min="8" max="8"/>
  </cols>
  <sheetData>
    <row r="2">
      <c r="B2" s="1" t="inlineStr">
        <is>
          <t>JOSHUA CORPORATION</t>
        </is>
      </c>
    </row>
    <row r="3">
      <c r="B3" s="2" t="inlineStr">
        <is>
          <t>Condensed Income Statement</t>
        </is>
      </c>
    </row>
    <row r="4">
      <c r="B4" s="3" t="inlineStr">
        <is>
          <t>For the Years Ended December 31</t>
        </is>
      </c>
    </row>
    <row r="5">
      <c r="B5" s="4" t="inlineStr">
        <is>
          <t>E18.4 (LO 2)  ·  Prepare vertical analysis  ·  percentages of net sales, rounded to 1 decimal place</t>
        </is>
      </c>
    </row>
    <row r="7">
      <c r="B7" s="5" t="n"/>
      <c r="C7" s="6" t="inlineStr">
        <is>
          <t>2027</t>
        </is>
      </c>
      <c r="D7" s="5" t="n"/>
      <c r="E7" s="6" t="inlineStr">
        <is>
          <t>2026</t>
        </is>
      </c>
      <c r="F7" s="5" t="n"/>
    </row>
    <row r="8">
      <c r="B8" s="7" t="inlineStr"/>
      <c r="C8" s="7" t="inlineStr">
        <is>
          <t>Amount</t>
        </is>
      </c>
      <c r="D8" s="7" t="inlineStr">
        <is>
          <t>Percent</t>
        </is>
      </c>
      <c r="E8" s="7" t="inlineStr">
        <is>
          <t>Amount</t>
        </is>
      </c>
      <c r="F8" s="7" t="inlineStr">
        <is>
          <t>Percent</t>
        </is>
      </c>
    </row>
    <row r="9" ht="20" customHeight="1">
      <c r="B9" s="8" t="inlineStr">
        <is>
          <t>Net sales</t>
        </is>
      </c>
      <c r="C9" s="9" t="n">
        <v>800000</v>
      </c>
      <c r="D9" s="10">
        <f>IF($C$9=0,0,C9/$C$9)</f>
        <v/>
      </c>
      <c r="E9" s="9" t="n">
        <v>600000</v>
      </c>
      <c r="F9" s="10">
        <f>IF($E$9=0,0,E9/$E$9)</f>
        <v/>
      </c>
    </row>
    <row r="10" ht="20" customHeight="1">
      <c r="B10" s="8" t="inlineStr">
        <is>
          <t>Cost of goods sold</t>
        </is>
      </c>
      <c r="C10" s="9" t="n">
        <v>520000</v>
      </c>
      <c r="D10" s="10">
        <f>C10/$C$9</f>
        <v/>
      </c>
      <c r="E10" s="9" t="n">
        <v>408000</v>
      </c>
      <c r="F10" s="10">
        <f>E10/$E$9</f>
        <v/>
      </c>
    </row>
    <row r="11" ht="20" customHeight="1">
      <c r="B11" s="11" t="inlineStr">
        <is>
          <t>Gross profit</t>
        </is>
      </c>
      <c r="C11" s="12">
        <f>C9-C10</f>
        <v/>
      </c>
      <c r="D11" s="13">
        <f>C11/$C$9</f>
        <v/>
      </c>
      <c r="E11" s="12">
        <f>E9-E10</f>
        <v/>
      </c>
      <c r="F11" s="13">
        <f>E11/$E$9</f>
        <v/>
      </c>
    </row>
    <row r="12" ht="20" customHeight="1">
      <c r="B12" s="14" t="inlineStr">
        <is>
          <t>Selling expenses</t>
        </is>
      </c>
      <c r="C12" s="9" t="n">
        <v>120000</v>
      </c>
      <c r="D12" s="10">
        <f>C12/$C$9</f>
        <v/>
      </c>
      <c r="E12" s="9" t="n">
        <v>72000</v>
      </c>
      <c r="F12" s="10">
        <f>E12/$E$9</f>
        <v/>
      </c>
    </row>
    <row r="13" ht="20" customHeight="1">
      <c r="B13" s="14" t="inlineStr">
        <is>
          <t>Administrative expenses</t>
        </is>
      </c>
      <c r="C13" s="9" t="n">
        <v>60000</v>
      </c>
      <c r="D13" s="10">
        <f>C13/$C$9</f>
        <v/>
      </c>
      <c r="E13" s="9" t="n">
        <v>48000</v>
      </c>
      <c r="F13" s="10">
        <f>E13/$E$9</f>
        <v/>
      </c>
    </row>
    <row r="14" ht="20" customHeight="1">
      <c r="B14" s="11" t="inlineStr">
        <is>
          <t>Total operating expenses</t>
        </is>
      </c>
      <c r="C14" s="12">
        <f>C12+C13</f>
        <v/>
      </c>
      <c r="D14" s="13">
        <f>C14/$C$9</f>
        <v/>
      </c>
      <c r="E14" s="12">
        <f>E12+E13</f>
        <v/>
      </c>
      <c r="F14" s="13">
        <f>E14/$E$9</f>
        <v/>
      </c>
    </row>
    <row r="15" ht="20" customHeight="1">
      <c r="B15" s="11" t="inlineStr">
        <is>
          <t>Income before income taxes</t>
        </is>
      </c>
      <c r="C15" s="12">
        <f>C11-C14</f>
        <v/>
      </c>
      <c r="D15" s="13">
        <f>C15/$C$9</f>
        <v/>
      </c>
      <c r="E15" s="12">
        <f>E11-E14</f>
        <v/>
      </c>
      <c r="F15" s="13">
        <f>E15/$E$9</f>
        <v/>
      </c>
    </row>
    <row r="16" ht="20" customHeight="1">
      <c r="B16" s="14" t="inlineStr">
        <is>
          <t>Income tax expense</t>
        </is>
      </c>
      <c r="C16" s="9" t="n">
        <v>30000</v>
      </c>
      <c r="D16" s="10">
        <f>C16/$C$9</f>
        <v/>
      </c>
      <c r="E16" s="9" t="n">
        <v>24000</v>
      </c>
      <c r="F16" s="10">
        <f>E16/$E$9</f>
        <v/>
      </c>
    </row>
    <row r="17" ht="20" customHeight="1">
      <c r="B17" s="15" t="inlineStr">
        <is>
          <t>Net income</t>
        </is>
      </c>
      <c r="C17" s="16">
        <f>C15-C16</f>
        <v/>
      </c>
      <c r="D17" s="17">
        <f>C17/$C$9</f>
        <v/>
      </c>
      <c r="E17" s="16">
        <f>E15-E16</f>
        <v/>
      </c>
      <c r="F17" s="17">
        <f>E17/$E$9</f>
        <v/>
      </c>
    </row>
    <row r="19" ht="32" customHeight="1">
      <c r="B19" s="18" t="inlineStr">
        <is>
          <t>Yellow cells = given amounts from the question. Green / blue percent columns = Amount ÷ Net sales. Excel stores 0.088 and displays 8.8% (30,000/800,000 = 3.75% → 3.8%; 70,000/800,000 = 8.75% → 8.8%).</t>
        </is>
      </c>
    </row>
    <row r="21" ht="22" customHeight="1">
      <c r="B21" s="6" t="inlineStr">
        <is>
          <t>What the vertical analysis tells us (2026 → 2027)</t>
        </is>
      </c>
      <c r="C21" s="5" t="n"/>
      <c r="D21" s="5" t="n"/>
      <c r="E21" s="5" t="n"/>
      <c r="F21" s="5" t="n"/>
    </row>
    <row r="22" ht="36" customHeight="1">
      <c r="B22" s="19" t="inlineStr">
        <is>
          <t>Gross margin improved</t>
        </is>
      </c>
      <c r="C22" s="20" t="inlineStr">
        <is>
          <t>COGS fell from 68.0% to 65.0% of sales, so gross profit rose from 32.0% to 35.0%. The company kept more of each sales dollar after product cost.</t>
        </is>
      </c>
      <c r="D22" s="21" t="n"/>
      <c r="E22" s="21" t="n"/>
      <c r="F22" s="21" t="n"/>
    </row>
    <row r="23" ht="36" customHeight="1">
      <c r="B23" s="19" t="inlineStr">
        <is>
          <t>Selling costs jumped</t>
        </is>
      </c>
      <c r="C23" s="20" t="inlineStr">
        <is>
          <t>Selling expenses rose from 12.0% to 15.0% of sales — a 3 percentage-point deterioration, enough to offset most of the gross-margin gain.</t>
        </is>
      </c>
      <c r="D23" s="21" t="n"/>
      <c r="E23" s="21" t="n"/>
      <c r="F23" s="21" t="n"/>
    </row>
    <row r="24" ht="36" customHeight="1">
      <c r="B24" s="19" t="inlineStr">
        <is>
          <t>Admin slightly better</t>
        </is>
      </c>
      <c r="C24" s="20" t="inlineStr">
        <is>
          <t>Administrative expenses eased from 8.0% to 7.5% of sales (fixed-cost leverage as sales grew 33%).</t>
        </is>
      </c>
      <c r="D24" s="21" t="n"/>
      <c r="E24" s="21" t="n"/>
      <c r="F24" s="21" t="n"/>
    </row>
    <row r="25" ht="36" customHeight="1">
      <c r="B25" s="19" t="inlineStr">
        <is>
          <t>Tax rate on sales down</t>
        </is>
      </c>
      <c r="C25" s="20" t="inlineStr">
        <is>
          <t>Income tax expense 4.0% → 3.8% of sales.</t>
        </is>
      </c>
      <c r="D25" s="21" t="n"/>
      <c r="E25" s="21" t="n"/>
      <c r="F25" s="21" t="n"/>
    </row>
    <row r="26" ht="36" customHeight="1">
      <c r="B26" s="19" t="inlineStr">
        <is>
          <t>Bottom line up</t>
        </is>
      </c>
      <c r="C26" s="20" t="inlineStr">
        <is>
          <t>Net income margin 8.0% → 8.8%. Profitability improved, but the extra selling spend is the item to watch.</t>
        </is>
      </c>
      <c r="D26" s="21" t="n"/>
      <c r="E26" s="21" t="n"/>
      <c r="F26" s="21" t="n"/>
    </row>
    <row r="28" ht="22" customHeight="1">
      <c r="B28" s="6" t="inlineStr">
        <is>
          <t>Key common-size percentages (chart data)</t>
        </is>
      </c>
      <c r="C28" s="5" t="n"/>
      <c r="D28" s="5" t="n"/>
      <c r="E28" s="5" t="n"/>
      <c r="F28" s="5" t="n"/>
    </row>
    <row r="29">
      <c r="B29" s="7" t="inlineStr">
        <is>
          <t>Item</t>
        </is>
      </c>
      <c r="C29" s="7" t="inlineStr">
        <is>
          <t>2027</t>
        </is>
      </c>
      <c r="D29" s="7" t="inlineStr">
        <is>
          <t>2026</t>
        </is>
      </c>
    </row>
    <row r="30">
      <c r="B30" s="22" t="inlineStr">
        <is>
          <t>Cost of goods sold</t>
        </is>
      </c>
      <c r="C30" s="23">
        <f>D10</f>
        <v/>
      </c>
      <c r="D30" s="23">
        <f>F10</f>
        <v/>
      </c>
    </row>
    <row r="31">
      <c r="B31" s="22" t="inlineStr">
        <is>
          <t>Gross profit</t>
        </is>
      </c>
      <c r="C31" s="23">
        <f>D11</f>
        <v/>
      </c>
      <c r="D31" s="23">
        <f>F11</f>
        <v/>
      </c>
    </row>
    <row r="32">
      <c r="B32" s="22" t="inlineStr">
        <is>
          <t>Selling expenses</t>
        </is>
      </c>
      <c r="C32" s="23">
        <f>D12</f>
        <v/>
      </c>
      <c r="D32" s="23">
        <f>F12</f>
        <v/>
      </c>
    </row>
    <row r="33">
      <c r="B33" s="22" t="inlineStr">
        <is>
          <t>Administrative expenses</t>
        </is>
      </c>
      <c r="C33" s="23">
        <f>D13</f>
        <v/>
      </c>
      <c r="D33" s="23">
        <f>F13</f>
        <v/>
      </c>
    </row>
    <row r="34">
      <c r="B34" s="22" t="inlineStr">
        <is>
          <t>Income tax expense</t>
        </is>
      </c>
      <c r="C34" s="23">
        <f>D16</f>
        <v/>
      </c>
      <c r="D34" s="23">
        <f>F16</f>
        <v/>
      </c>
    </row>
    <row r="35">
      <c r="B35" s="22" t="inlineStr">
        <is>
          <t>Net income</t>
        </is>
      </c>
      <c r="C35" s="23">
        <f>D17</f>
        <v/>
      </c>
      <c r="D35" s="23">
        <f>F17</f>
        <v/>
      </c>
    </row>
  </sheetData>
  <mergeCells count="14">
    <mergeCell ref="B4:F4"/>
    <mergeCell ref="B21:F21"/>
    <mergeCell ref="C22:F22"/>
    <mergeCell ref="C23:F23"/>
    <mergeCell ref="C7:D7"/>
    <mergeCell ref="B2:F2"/>
    <mergeCell ref="E7:F7"/>
    <mergeCell ref="C26:F26"/>
    <mergeCell ref="B28:F28"/>
    <mergeCell ref="B3:F3"/>
    <mergeCell ref="B5:F5"/>
    <mergeCell ref="B19:F19"/>
    <mergeCell ref="C25:F25"/>
    <mergeCell ref="C24:F24"/>
  </mergeCells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6" customWidth="1" min="3" max="3"/>
    <col width="16" customWidth="1" min="4" max="4"/>
  </cols>
  <sheetData>
    <row r="2">
      <c r="B2" s="24" t="inlineStr">
        <is>
          <t>Operating data for Joshua Corporation</t>
        </is>
      </c>
    </row>
    <row r="3">
      <c r="B3" s="18" t="inlineStr">
        <is>
          <t>Paste / check the question figures here. The Vertical Analysis sheet reads these yellow cells.</t>
        </is>
      </c>
    </row>
    <row r="5">
      <c r="B5" s="25" t="n"/>
      <c r="C5" s="25" t="n">
        <v>2027</v>
      </c>
      <c r="D5" s="25" t="n">
        <v>2026</v>
      </c>
    </row>
    <row r="6">
      <c r="B6" s="7" t="inlineStr">
        <is>
          <t>Item</t>
        </is>
      </c>
      <c r="C6" s="7" t="inlineStr">
        <is>
          <t>2027</t>
        </is>
      </c>
      <c r="D6" s="7" t="inlineStr">
        <is>
          <t>2026</t>
        </is>
      </c>
    </row>
    <row r="7">
      <c r="B7" s="22" t="inlineStr">
        <is>
          <t>Net sales</t>
        </is>
      </c>
      <c r="C7" s="9" t="n">
        <v>800000</v>
      </c>
      <c r="D7" s="9" t="n">
        <v>600000</v>
      </c>
    </row>
    <row r="8">
      <c r="B8" s="22" t="inlineStr">
        <is>
          <t>Cost of goods sold</t>
        </is>
      </c>
      <c r="C8" s="9" t="n">
        <v>520000</v>
      </c>
      <c r="D8" s="9" t="n">
        <v>408000</v>
      </c>
    </row>
    <row r="9">
      <c r="B9" s="22" t="inlineStr">
        <is>
          <t>Selling expenses</t>
        </is>
      </c>
      <c r="C9" s="9" t="n">
        <v>120000</v>
      </c>
      <c r="D9" s="9" t="n">
        <v>72000</v>
      </c>
    </row>
    <row r="10">
      <c r="B10" s="22" t="inlineStr">
        <is>
          <t>Administrative expenses</t>
        </is>
      </c>
      <c r="C10" s="9" t="n">
        <v>60000</v>
      </c>
      <c r="D10" s="9" t="n">
        <v>48000</v>
      </c>
    </row>
    <row r="11">
      <c r="B11" s="22" t="inlineStr">
        <is>
          <t>Income tax expense</t>
        </is>
      </c>
      <c r="C11" s="9" t="n">
        <v>30000</v>
      </c>
      <c r="D11" s="9" t="n">
        <v>24000</v>
      </c>
    </row>
    <row r="12">
      <c r="B12" s="22" t="inlineStr">
        <is>
          <t>Net income (check)</t>
        </is>
      </c>
      <c r="C12" s="9" t="n">
        <v>70000</v>
      </c>
      <c r="D12" s="9" t="n">
        <v>48000</v>
      </c>
    </row>
    <row r="14">
      <c r="B14" s="26" t="inlineStr">
        <is>
          <t>Check: 2027 NI = 800,000 − 520,000 − 120,000 − 60,000 − 30,000 = 70,000</t>
        </is>
      </c>
    </row>
    <row r="15">
      <c r="B15" s="26" t="inlineStr">
        <is>
          <t>Check: 2026 NI = 600,000 − 408,000 − 72,000 − 48,000 − 24,000 = 48,000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2026-08-18T01:50:54Z</dcterms:created>
  <dcterms:modified xsi:type="dcterms:W3CDTF">2026-08-18T01:50:54Z</dcterms:modified>
</cp:coreProperties>
</file>